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07efe63de43ff6/Documents/Diversos/Excel na DIO/"/>
    </mc:Choice>
  </mc:AlternateContent>
  <xr:revisionPtr revIDLastSave="403" documentId="8_{3E79D7B2-819D-43DB-883B-5F1D81CF632D}" xr6:coauthVersionLast="47" xr6:coauthVersionMax="47" xr10:uidLastSave="{15ED38E9-4B62-4774-9826-4E9FBEEFAC50}"/>
  <bookViews>
    <workbookView xWindow="-120" yWindow="-120" windowWidth="20730" windowHeight="11760" tabRatio="103" xr2:uid="{4A360B04-5A90-4EA1-BD8E-1D676BC9FD6E}"/>
  </bookViews>
  <sheets>
    <sheet name="Simulador" sheetId="1" r:id="rId1"/>
    <sheet name="Apoio" sheetId="2" r:id="rId2"/>
  </sheets>
  <definedNames>
    <definedName name="aporte">Simulador!$D$18</definedName>
    <definedName name="aporte_inicial">Simulador!$D$21</definedName>
    <definedName name="investimento_mensal">Simulador!$C$33</definedName>
    <definedName name="patrimonio">Simulador!$D$22</definedName>
    <definedName name="qtd_anos">Simulador!$D$19</definedName>
    <definedName name="rendimento_carteira">Simulador!$D$14</definedName>
    <definedName name="salario">Simulador!$D$13</definedName>
    <definedName name="sugestao_investimento">Simulador!$D$15</definedName>
    <definedName name="taxa_mensal">Simulador!$D$20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D26" i="1" s="1"/>
  <c r="C27" i="1"/>
  <c r="D27" i="1" s="1"/>
  <c r="C28" i="1"/>
  <c r="D28" i="1" s="1"/>
  <c r="C29" i="1"/>
  <c r="D29" i="1" s="1"/>
  <c r="C30" i="1"/>
  <c r="D30" i="1" s="1"/>
  <c r="D22" i="1"/>
  <c r="D23" i="1" s="1"/>
  <c r="C37" i="1"/>
  <c r="C38" i="1"/>
  <c r="C39" i="1"/>
  <c r="C40" i="1"/>
  <c r="C41" i="1"/>
  <c r="C36" i="1"/>
  <c r="D36" i="1" s="1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33" i="1"/>
  <c r="D15" i="1"/>
  <c r="D41" i="1" l="1"/>
  <c r="D40" i="1"/>
  <c r="D39" i="1"/>
  <c r="D38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<sst xmlns="http://schemas.openxmlformats.org/spreadsheetml/2006/main" count="71" uniqueCount="34">
  <si>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</si>
  <si>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</si>
  <si>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</si>
  <si>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Dividendos mensais?</t>
  </si>
  <si>
    <t>Patrimônio acumulado?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</si>
  <si>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</si>
  <si>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</si>
  <si>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</si>
  <si>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</si>
  <si>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</si>
  <si>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</si>
  <si>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</si>
  <si>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</si>
  <si>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</si>
  <si>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Rendimento carteira</t>
  </si>
  <si>
    <t>CONFIGURAÇÕES</t>
  </si>
  <si>
    <t>Conservador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</si>
  <si>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</si>
  <si>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</si>
  <si>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</si>
  <si>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</si>
  <si>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</si>
  <si>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</si>
  <si>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</si>
  <si>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</si>
  <si>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</si>
  <si>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</si>
  <si>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</si>
  <si>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</si>
  <si>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Moderado</t>
  </si>
  <si>
    <t>Agressivo</t>
  </si>
  <si>
    <t>Sugestão de investimento (30%)</t>
  </si>
  <si>
    <t>Qual o valor de aporte inicial?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</si>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</sst>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6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9C5700"/>
      <name val="Segoi UI"/>
    </font>
    <font>
      <sz val="11"/>
      <color rgb="FF9C5700"/>
      <name val="Segoi UI"/>
    </font>
    <font>
      <b/>
      <sz val="11"/>
      <color theme="1"/>
      <name val="Segoi UI"/>
    </font>
    <font>
      <sz val="11"/>
      <color theme="1"/>
      <name val="Segoi UI"/>
    </font>
    <font>
      <sz val="11"/>
      <color theme="9" tint="0.3999755851924192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5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8" fontId="9" fillId="4" borderId="6" xfId="0" applyNumberFormat="1" applyFont="1" applyFill="1" applyBorder="1" applyAlignment="1">
      <alignment horizontal="center"/>
    </xf>
    <xf numFmtId="8" fontId="9" fillId="4" borderId="8" xfId="0" applyNumberFormat="1" applyFont="1" applyFill="1" applyBorder="1" applyAlignment="1">
      <alignment horizontal="center"/>
    </xf>
    <xf numFmtId="0" fontId="7" fillId="4" borderId="12" xfId="0" applyFont="1" applyFill="1" applyBorder="1" applyAlignment="1">
      <alignment horizontal="left" indent="3"/>
    </xf>
    <xf numFmtId="8" fontId="8" fillId="4" borderId="13" xfId="0" applyNumberFormat="1" applyFont="1" applyFill="1" applyBorder="1" applyAlignment="1">
      <alignment horizontal="center"/>
    </xf>
    <xf numFmtId="8" fontId="8" fillId="4" borderId="14" xfId="0" applyNumberFormat="1" applyFont="1" applyFill="1" applyBorder="1" applyAlignment="1">
      <alignment horizontal="center"/>
    </xf>
    <xf numFmtId="0" fontId="7" fillId="4" borderId="15" xfId="0" applyFont="1" applyFill="1" applyBorder="1" applyAlignment="1">
      <alignment horizontal="left" indent="3"/>
    </xf>
    <xf numFmtId="8" fontId="8" fillId="4" borderId="11" xfId="0" applyNumberFormat="1" applyFont="1" applyFill="1" applyBorder="1" applyAlignment="1">
      <alignment horizontal="center"/>
    </xf>
    <xf numFmtId="8" fontId="8" fillId="4" borderId="16" xfId="0" applyNumberFormat="1" applyFont="1" applyFill="1" applyBorder="1" applyAlignment="1">
      <alignment horizontal="center"/>
    </xf>
    <xf numFmtId="0" fontId="7" fillId="4" borderId="17" xfId="0" applyFont="1" applyFill="1" applyBorder="1" applyAlignment="1">
      <alignment horizontal="left" indent="3"/>
    </xf>
    <xf numFmtId="8" fontId="8" fillId="4" borderId="18" xfId="0" applyNumberFormat="1" applyFont="1" applyFill="1" applyBorder="1" applyAlignment="1">
      <alignment horizontal="center"/>
    </xf>
    <xf numFmtId="8" fontId="8" fillId="4" borderId="19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 indent="3"/>
    </xf>
    <xf numFmtId="0" fontId="7" fillId="6" borderId="20" xfId="0" applyFont="1" applyFill="1" applyBorder="1" applyAlignment="1">
      <alignment horizontal="left" indent="3"/>
    </xf>
    <xf numFmtId="0" fontId="7" fillId="6" borderId="5" xfId="0" applyFont="1" applyFill="1" applyBorder="1" applyAlignment="1">
      <alignment horizontal="left" indent="3"/>
    </xf>
    <xf numFmtId="0" fontId="7" fillId="6" borderId="21" xfId="0" applyFont="1" applyFill="1" applyBorder="1" applyAlignment="1">
      <alignment horizontal="left" indent="3"/>
    </xf>
    <xf numFmtId="0" fontId="10" fillId="4" borderId="5" xfId="0" applyFont="1" applyFill="1" applyBorder="1" applyAlignment="1">
      <alignment horizontal="left" indent="3"/>
    </xf>
    <xf numFmtId="0" fontId="10" fillId="4" borderId="21" xfId="0" applyFont="1" applyFill="1" applyBorder="1" applyAlignment="1">
      <alignment horizontal="left" indent="3"/>
    </xf>
    <xf numFmtId="0" fontId="10" fillId="4" borderId="7" xfId="0" applyFont="1" applyFill="1" applyBorder="1" applyAlignment="1">
      <alignment horizontal="left" indent="3"/>
    </xf>
    <xf numFmtId="0" fontId="10" fillId="4" borderId="22" xfId="0" applyFont="1" applyFill="1" applyBorder="1" applyAlignment="1">
      <alignment horizontal="left" indent="3"/>
    </xf>
    <xf numFmtId="0" fontId="7" fillId="6" borderId="7" xfId="0" applyFont="1" applyFill="1" applyBorder="1" applyAlignment="1">
      <alignment horizontal="left" indent="3"/>
    </xf>
    <xf numFmtId="0" fontId="7" fillId="6" borderId="22" xfId="0" applyFont="1" applyFill="1" applyBorder="1" applyAlignment="1">
      <alignment horizontal="left" indent="3"/>
    </xf>
    <xf numFmtId="167" fontId="8" fillId="6" borderId="8" xfId="0" applyNumberFormat="1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0" fontId="0" fillId="0" borderId="10" xfId="0" applyBorder="1"/>
    <xf numFmtId="9" fontId="0" fillId="0" borderId="10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167" fontId="8" fillId="0" borderId="23" xfId="1" applyNumberFormat="1" applyFont="1" applyBorder="1" applyAlignment="1" applyProtection="1">
      <alignment horizontal="center"/>
      <protection locked="0"/>
    </xf>
    <xf numFmtId="10" fontId="8" fillId="0" borderId="6" xfId="0" applyNumberFormat="1" applyFont="1" applyBorder="1" applyAlignment="1" applyProtection="1">
      <alignment horizontal="center"/>
      <protection locked="0"/>
    </xf>
    <xf numFmtId="167" fontId="8" fillId="0" borderId="4" xfId="0" applyNumberFormat="1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10" fontId="8" fillId="0" borderId="6" xfId="2" applyNumberFormat="1" applyFont="1" applyBorder="1" applyAlignment="1" applyProtection="1">
      <alignment horizontal="center"/>
      <protection locked="0"/>
    </xf>
    <xf numFmtId="0" fontId="13" fillId="7" borderId="0" xfId="0" applyFont="1" applyFill="1" applyBorder="1" applyAlignment="1">
      <alignment horizontal="center"/>
    </xf>
    <xf numFmtId="0" fontId="11" fillId="2" borderId="24" xfId="3" applyFont="1" applyBorder="1" applyAlignment="1">
      <alignment horizontal="left" indent="3"/>
    </xf>
    <xf numFmtId="0" fontId="12" fillId="2" borderId="26" xfId="3" applyFont="1" applyBorder="1"/>
    <xf numFmtId="0" fontId="13" fillId="6" borderId="27" xfId="0" applyFont="1" applyFill="1" applyBorder="1" applyAlignment="1">
      <alignment horizontal="left" indent="3"/>
    </xf>
    <xf numFmtId="0" fontId="14" fillId="6" borderId="28" xfId="0" applyFont="1" applyFill="1" applyBorder="1"/>
    <xf numFmtId="0" fontId="13" fillId="7" borderId="27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167" fontId="8" fillId="0" borderId="6" xfId="2" applyNumberFormat="1" applyFont="1" applyBorder="1" applyAlignment="1" applyProtection="1">
      <alignment horizontal="center"/>
      <protection locked="0"/>
    </xf>
    <xf numFmtId="0" fontId="14" fillId="0" borderId="29" xfId="0" applyFont="1" applyBorder="1" applyAlignment="1">
      <alignment horizontal="left" indent="13"/>
    </xf>
    <xf numFmtId="9" fontId="14" fillId="0" borderId="30" xfId="0" applyNumberFormat="1" applyFont="1" applyBorder="1" applyAlignment="1">
      <alignment horizontal="center"/>
    </xf>
    <xf numFmtId="167" fontId="14" fillId="6" borderId="31" xfId="0" applyNumberFormat="1" applyFont="1" applyFill="1" applyBorder="1" applyAlignment="1">
      <alignment horizontal="center"/>
    </xf>
    <xf numFmtId="0" fontId="14" fillId="0" borderId="32" xfId="0" applyFont="1" applyBorder="1" applyAlignment="1">
      <alignment horizontal="left" indent="13"/>
    </xf>
    <xf numFmtId="9" fontId="14" fillId="0" borderId="33" xfId="0" applyNumberFormat="1" applyFont="1" applyBorder="1" applyAlignment="1">
      <alignment horizontal="center"/>
    </xf>
    <xf numFmtId="167" fontId="14" fillId="6" borderId="34" xfId="0" applyNumberFormat="1" applyFont="1" applyFill="1" applyBorder="1" applyAlignment="1">
      <alignment horizontal="center"/>
    </xf>
    <xf numFmtId="0" fontId="14" fillId="0" borderId="24" xfId="0" applyFont="1" applyBorder="1" applyAlignment="1">
      <alignment horizontal="left" indent="13"/>
    </xf>
    <xf numFmtId="9" fontId="14" fillId="0" borderId="25" xfId="0" applyNumberFormat="1" applyFont="1" applyBorder="1" applyAlignment="1">
      <alignment horizontal="center"/>
    </xf>
    <xf numFmtId="167" fontId="14" fillId="6" borderId="26" xfId="0" applyNumberFormat="1" applyFont="1" applyFill="1" applyBorder="1" applyAlignment="1">
      <alignment horizontal="center"/>
    </xf>
    <xf numFmtId="0" fontId="0" fillId="9" borderId="0" xfId="0" applyFill="1"/>
    <xf numFmtId="0" fontId="14" fillId="9" borderId="0" xfId="0" applyFont="1" applyFill="1" applyBorder="1"/>
    <xf numFmtId="0" fontId="15" fillId="9" borderId="0" xfId="0" applyFont="1" applyFill="1"/>
    <xf numFmtId="0" fontId="13" fillId="0" borderId="24" xfId="0" applyFont="1" applyBorder="1" applyAlignment="1">
      <alignment horizontal="right"/>
    </xf>
    <xf numFmtId="0" fontId="13" fillId="0" borderId="25" xfId="0" applyFont="1" applyBorder="1" applyAlignment="1">
      <alignment horizontal="right"/>
    </xf>
    <xf numFmtId="167" fontId="13" fillId="6" borderId="26" xfId="0" applyNumberFormat="1" applyFont="1" applyFill="1" applyBorder="1" applyAlignment="1">
      <alignment horizontal="center"/>
    </xf>
    <xf numFmtId="0" fontId="11" fillId="2" borderId="25" xfId="3" applyFont="1" applyBorder="1" applyAlignment="1" applyProtection="1">
      <alignment horizontal="center"/>
      <protection locked="0"/>
    </xf>
    <xf numFmtId="167" fontId="13" fillId="6" borderId="0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E-4643-B0F8-A6D4046D3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248478</xdr:colOff>
      <xdr:row>0</xdr:row>
      <xdr:rowOff>113107</xdr:rowOff>
    </xdr:from>
    <xdr:to>
      <xdr:col>4</xdr:col>
      <xdr:colOff>215348</xdr:colOff>
      <xdr:row>10</xdr:row>
      <xdr:rowOff>17857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2DBA1FC-01B4-63DE-0FE0-E92A96812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4" t="8405" r="4534" b="6897"/>
        <a:stretch>
          <a:fillRect/>
        </a:stretch>
      </xdr:blipFill>
      <xdr:spPr>
        <a:xfrm>
          <a:off x="248478" y="113107"/>
          <a:ext cx="5789544" cy="1809750"/>
        </a:xfrm>
        <a:prstGeom prst="roundRect">
          <a:avLst/>
        </a:prstGeom>
      </xdr:spPr>
    </xdr:pic>
    <xdr:clientData/>
  </xdr:twoCellAnchor>
  <xdr:twoCellAnchor>
    <xdr:from>
      <xdr:col>1</xdr:col>
      <xdr:colOff>16564</xdr:colOff>
      <xdr:row>42</xdr:row>
      <xdr:rowOff>74543</xdr:rowOff>
    </xdr:from>
    <xdr:to>
      <xdr:col>4</xdr:col>
      <xdr:colOff>8283</xdr:colOff>
      <xdr:row>57</xdr:row>
      <xdr:rowOff>133349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8E75FAC-F4CC-CF2E-2DCC-9FDF7EE79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6562-4E4F-4190-A03D-81CD8367E82F}">
  <dimension ref="A1:F60"/>
  <sheetViews>
    <sheetView showGridLines="0" showRowColHeaders="0" tabSelected="1" zoomScale="130" zoomScaleNormal="130" workbookViewId="0">
      <selection activeCell="E31" sqref="E3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/>
  <cols>
    <col min="1" max="1" width="6.42578125" style="57" customWidth="1"/>
    <col min="2" max="2" width="42.7109375" bestFit="1" customWidth="1"/>
    <col min="3" max="3" width="22" bestFit="1" customWidth="1"/>
    <col min="4" max="4" width="16.140625" bestFit="1" customWidth="1"/>
    <col min="5" max="5" width="7.42578125" style="57" customWidth="1"/>
    <col min="6" max="6" width="12.140625" hidden="1" customWidth="1"/>
    <col min="7" max="11" width="9.140625" hidden="1" customWidth="1"/>
    <col min="12" max="16384" width="9.140625" hidden="1"/>
  </cols>
  <sheetData>
    <row r="1" spans="2:4" s="57" customFormat="1"/>
    <row r="2" spans="2:4" s="57" customFormat="1"/>
    <row r="3" spans="2:4" s="57" customFormat="1"/>
    <row r="4" spans="2:4" s="57" customFormat="1"/>
    <row r="5" spans="2:4" s="57" customFormat="1"/>
    <row r="6" spans="2:4" s="57" customFormat="1"/>
    <row r="7" spans="2:4" s="57" customFormat="1"/>
    <row r="8" spans="2:4" s="57" customFormat="1"/>
    <row r="9" spans="2:4" s="57" customFormat="1"/>
    <row r="10" spans="2:4" s="57" customFormat="1"/>
    <row r="11" spans="2:4" s="57" customFormat="1" ht="15.75" thickBot="1"/>
    <row r="12" spans="2:4" ht="26.25">
      <c r="B12" s="1" t="s">
        <v>15</v>
      </c>
      <c r="C12" s="2"/>
      <c r="D12" s="3"/>
    </row>
    <row r="13" spans="2:4" ht="17.25">
      <c r="B13" s="19" t="s">
        <v>13</v>
      </c>
      <c r="C13" s="20"/>
      <c r="D13" s="35">
        <v>4000</v>
      </c>
    </row>
    <row r="14" spans="2:4" ht="17.25">
      <c r="B14" s="21" t="s">
        <v>14</v>
      </c>
      <c r="C14" s="22"/>
      <c r="D14" s="36">
        <v>0.02</v>
      </c>
    </row>
    <row r="15" spans="2:4" ht="18" thickBot="1">
      <c r="B15" s="27" t="s">
        <v>31</v>
      </c>
      <c r="C15" s="28"/>
      <c r="D15" s="29">
        <f>salario*30%</f>
        <v>1200</v>
      </c>
    </row>
    <row r="16" spans="2:4" s="57" customFormat="1" ht="15.75" thickBot="1"/>
    <row r="17" spans="1:4" ht="30.75">
      <c r="B17" s="4" t="s">
        <v>5</v>
      </c>
      <c r="C17" s="5"/>
      <c r="D17" s="6"/>
    </row>
    <row r="18" spans="1:4" ht="17.25">
      <c r="B18" s="19" t="s">
        <v>0</v>
      </c>
      <c r="C18" s="20"/>
      <c r="D18" s="37">
        <v>300</v>
      </c>
    </row>
    <row r="19" spans="1:4" ht="17.25">
      <c r="B19" s="21" t="s">
        <v>1</v>
      </c>
      <c r="C19" s="22"/>
      <c r="D19" s="38">
        <v>10</v>
      </c>
    </row>
    <row r="20" spans="1:4" ht="17.25">
      <c r="B20" s="21" t="s">
        <v>2</v>
      </c>
      <c r="C20" s="22"/>
      <c r="D20" s="39">
        <v>0.01</v>
      </c>
    </row>
    <row r="21" spans="1:4" ht="17.25">
      <c r="B21" s="21" t="s">
        <v>32</v>
      </c>
      <c r="C21" s="22"/>
      <c r="D21" s="47">
        <v>2500</v>
      </c>
    </row>
    <row r="22" spans="1:4" ht="17.25">
      <c r="B22" s="23" t="s">
        <v>4</v>
      </c>
      <c r="C22" s="24"/>
      <c r="D22" s="8">
        <f>FV(taxa_mensal,qtd_anos*12,aporte*-1,aporte_inicial*-1)</f>
        <v>77262.574073644268</v>
      </c>
    </row>
    <row r="23" spans="1:4" ht="15.75" customHeight="1" thickBot="1">
      <c r="B23" s="25" t="s">
        <v>3</v>
      </c>
      <c r="C23" s="26"/>
      <c r="D23" s="9">
        <f>patrimonio*rendimento_carteira</f>
        <v>1545.2514814728854</v>
      </c>
    </row>
    <row r="24" spans="1:4" s="57" customFormat="1" ht="15.75" thickBot="1"/>
    <row r="25" spans="1:4" ht="31.5" thickBot="1">
      <c r="A25" s="59">
        <v>2</v>
      </c>
      <c r="B25" s="4" t="s">
        <v>11</v>
      </c>
      <c r="C25" s="5"/>
      <c r="D25" s="7" t="s">
        <v>12</v>
      </c>
    </row>
    <row r="26" spans="1:4" ht="18" thickBot="1">
      <c r="A26" s="59">
        <v>5</v>
      </c>
      <c r="B26" s="10" t="s">
        <v>6</v>
      </c>
      <c r="C26" s="11">
        <f>FV($D$20,$A25*12,$D$18*-1,aporte_inicial*-1)</f>
        <v>11266.376077287237</v>
      </c>
      <c r="D26" s="12">
        <f>C26*rendimento_carteira</f>
        <v>225.32752154574476</v>
      </c>
    </row>
    <row r="27" spans="1:4" ht="18" thickBot="1">
      <c r="A27" s="59">
        <v>10</v>
      </c>
      <c r="B27" s="13" t="s">
        <v>7</v>
      </c>
      <c r="C27" s="14">
        <f>FV($D$20,$A26*12,$D$18*-1,aporte_inicial*-1)</f>
        <v>29042.642703332967</v>
      </c>
      <c r="D27" s="15">
        <f>C27*rendimento_carteira</f>
        <v>580.85285406665935</v>
      </c>
    </row>
    <row r="28" spans="1:4" ht="18" thickBot="1">
      <c r="A28" s="59">
        <v>20</v>
      </c>
      <c r="B28" s="13" t="s">
        <v>8</v>
      </c>
      <c r="C28" s="14">
        <f>FV($D$20,$A27*12,$D$18*-1,aporte_inicial*-1)</f>
        <v>77262.574073644268</v>
      </c>
      <c r="D28" s="15">
        <f>C28*rendimento_carteira</f>
        <v>1545.2514814728854</v>
      </c>
    </row>
    <row r="29" spans="1:4" ht="18" thickBot="1">
      <c r="A29" s="59">
        <v>30</v>
      </c>
      <c r="B29" s="13" t="s">
        <v>9</v>
      </c>
      <c r="C29" s="14">
        <f>FV($D$20,$A28*12,$D$18*-1,aporte_inicial*-1)</f>
        <v>324007.99375089293</v>
      </c>
      <c r="D29" s="15">
        <f>C29*rendimento_carteira</f>
        <v>6480.1598750178591</v>
      </c>
    </row>
    <row r="30" spans="1:4" ht="18" thickBot="1">
      <c r="B30" s="16" t="s">
        <v>10</v>
      </c>
      <c r="C30" s="17">
        <f>FV($D$20,$A29*12,$D$18*-1,aporte_inicial*-1)</f>
        <v>1138363.3431497645</v>
      </c>
      <c r="D30" s="18">
        <f>C30*rendimento_carteira</f>
        <v>22767.26686299529</v>
      </c>
    </row>
    <row r="31" spans="1:4" s="57" customFormat="1"/>
    <row r="32" spans="1:4">
      <c r="B32" s="41" t="s">
        <v>17</v>
      </c>
      <c r="C32" s="63" t="s">
        <v>30</v>
      </c>
      <c r="D32" s="42"/>
    </row>
    <row r="33" spans="2:4">
      <c r="B33" s="43" t="s">
        <v>18</v>
      </c>
      <c r="C33" s="64">
        <f>aporte</f>
        <v>300</v>
      </c>
      <c r="D33" s="44"/>
    </row>
    <row r="34" spans="2:4" s="57" customFormat="1">
      <c r="B34" s="58"/>
      <c r="C34" s="58"/>
      <c r="D34" s="58"/>
    </row>
    <row r="35" spans="2:4">
      <c r="B35" s="45" t="s">
        <v>19</v>
      </c>
      <c r="C35" s="40" t="s">
        <v>20</v>
      </c>
      <c r="D35" s="46" t="s">
        <v>21</v>
      </c>
    </row>
    <row r="36" spans="2:4">
      <c r="B36" s="48" t="s">
        <v>22</v>
      </c>
      <c r="C36" s="49">
        <f>VLOOKUP($C$32&amp;"-"&amp;B36,Apoio!$A:$D,4,)</f>
        <v>0.5</v>
      </c>
      <c r="D36" s="50">
        <f>C36*investimento_mensal</f>
        <v>150</v>
      </c>
    </row>
    <row r="37" spans="2:4">
      <c r="B37" s="51" t="s">
        <v>23</v>
      </c>
      <c r="C37" s="52">
        <f>VLOOKUP($C$32&amp;"-"&amp;B37,Apoio!$A:$D,4,)</f>
        <v>0.1</v>
      </c>
      <c r="D37" s="53">
        <f>C37*investimento_mensal</f>
        <v>30</v>
      </c>
    </row>
    <row r="38" spans="2:4">
      <c r="B38" s="51" t="s">
        <v>24</v>
      </c>
      <c r="C38" s="52">
        <f>VLOOKUP($C$32&amp;"-"&amp;B38,Apoio!$A:$D,4,)</f>
        <v>0.05</v>
      </c>
      <c r="D38" s="53">
        <f>C38*investimento_mensal</f>
        <v>15</v>
      </c>
    </row>
    <row r="39" spans="2:4">
      <c r="B39" s="51" t="s">
        <v>25</v>
      </c>
      <c r="C39" s="52">
        <f>VLOOKUP($C$32&amp;"-"&amp;B39,Apoio!$A:$D,4,)</f>
        <v>0.05</v>
      </c>
      <c r="D39" s="53">
        <f>C39*investimento_mensal</f>
        <v>15</v>
      </c>
    </row>
    <row r="40" spans="2:4">
      <c r="B40" s="51" t="s">
        <v>26</v>
      </c>
      <c r="C40" s="52">
        <f>VLOOKUP($C$32&amp;"-"&amp;B40,Apoio!$A:$D,4,)</f>
        <v>0.2</v>
      </c>
      <c r="D40" s="53">
        <f>C40*investimento_mensal</f>
        <v>60</v>
      </c>
    </row>
    <row r="41" spans="2:4">
      <c r="B41" s="54" t="s">
        <v>27</v>
      </c>
      <c r="C41" s="55">
        <f>VLOOKUP($C$32&amp;"-"&amp;B41,Apoio!$A:$D,4,)</f>
        <v>0.1</v>
      </c>
      <c r="D41" s="56">
        <f>C41*investimento_mensal</f>
        <v>30</v>
      </c>
    </row>
    <row r="42" spans="2:4" s="57" customFormat="1">
      <c r="B42" s="60" t="s">
        <v>33</v>
      </c>
      <c r="C42" s="61"/>
      <c r="D42" s="62">
        <f>SUM(D36:D41)</f>
        <v>300</v>
      </c>
    </row>
    <row r="43" spans="2:4" s="57" customFormat="1"/>
    <row r="44" spans="2:4" s="57" customFormat="1"/>
    <row r="45" spans="2:4" s="57" customFormat="1"/>
    <row r="46" spans="2:4" s="57" customFormat="1"/>
    <row r="47" spans="2:4" s="57" customFormat="1"/>
    <row r="48" spans="2:4" s="57" customFormat="1"/>
    <row r="49" s="57" customFormat="1"/>
    <row r="50" s="57" customFormat="1"/>
    <row r="51" s="57" customFormat="1"/>
    <row r="52" s="57" customFormat="1"/>
    <row r="53" s="57" customFormat="1"/>
    <row r="54" s="57" customFormat="1"/>
    <row r="55" s="57" customFormat="1"/>
    <row r="56" s="57" customFormat="1"/>
    <row r="57" s="57" customFormat="1"/>
    <row r="58" s="57" customFormat="1"/>
    <row r="59" s="57" customFormat="1"/>
    <row r="60" s="57" customFormat="1"/>
  </sheetData>
  <sheetProtection sheet="1" objects="1" scenarios="1"/>
  <mergeCells count="13">
    <mergeCell ref="B21:C21"/>
    <mergeCell ref="B42:C42"/>
    <mergeCell ref="B13:C13"/>
    <mergeCell ref="B14:C14"/>
    <mergeCell ref="B15:C15"/>
    <mergeCell ref="B12:D12"/>
    <mergeCell ref="B17:D17"/>
    <mergeCell ref="B25:C25"/>
    <mergeCell ref="B18:C18"/>
    <mergeCell ref="B19:C19"/>
    <mergeCell ref="B20:C20"/>
    <mergeCell ref="B22:C22"/>
    <mergeCell ref="B23:C23"/>
  </mergeCells>
  <dataValidations count="1">
    <dataValidation type="list" allowBlank="1" showInputMessage="1" showErrorMessage="1" sqref="C32" xr:uid="{3B27883A-7F00-43F4-BB87-BC3F1C027BB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7D18-D432-47C5-9315-7B539419C96C}">
  <dimension ref="A2:D20"/>
  <sheetViews>
    <sheetView workbookViewId="0">
      <selection activeCell="F7" sqref="F7"/>
    </sheetView>
  </sheetViews>
  <sheetFormatPr defaultRowHeight="15"/>
  <cols>
    <col min="1" max="1" width="30.85546875" bestFit="1" customWidth="1"/>
    <col min="2" max="2" width="12.140625" bestFit="1" customWidth="1"/>
    <col min="3" max="3" width="18.5703125" bestFit="1" customWidth="1"/>
    <col min="4" max="4" width="18.85546875" bestFit="1" customWidth="1"/>
  </cols>
  <sheetData>
    <row r="2" spans="1:4">
      <c r="A2" s="34" t="s">
        <v>28</v>
      </c>
      <c r="B2" s="34" t="s">
        <v>17</v>
      </c>
      <c r="C2" s="34" t="s">
        <v>19</v>
      </c>
      <c r="D2" s="34" t="s">
        <v>20</v>
      </c>
    </row>
    <row r="3" spans="1:4">
      <c r="A3" t="str">
        <f>B3&amp;"-"&amp;C3</f>
        <v>Conservador-PAPEL</v>
      </c>
      <c r="B3" t="s">
        <v>16</v>
      </c>
      <c r="C3" t="s">
        <v>22</v>
      </c>
      <c r="D3" s="30">
        <v>0.3</v>
      </c>
    </row>
    <row r="4" spans="1:4">
      <c r="A4" t="str">
        <f t="shared" ref="A4:A20" si="0">B4&amp;"-"&amp;C4</f>
        <v>Conservador-TIJOLO</v>
      </c>
      <c r="B4" t="s">
        <v>16</v>
      </c>
      <c r="C4" t="s">
        <v>23</v>
      </c>
      <c r="D4" s="30">
        <v>0.5</v>
      </c>
    </row>
    <row r="5" spans="1:4">
      <c r="A5" t="str">
        <f t="shared" si="0"/>
        <v>Conservador-HÍBRIDOS</v>
      </c>
      <c r="B5" t="s">
        <v>16</v>
      </c>
      <c r="C5" t="s">
        <v>24</v>
      </c>
      <c r="D5" s="30">
        <v>0.1</v>
      </c>
    </row>
    <row r="6" spans="1:4">
      <c r="A6" t="str">
        <f t="shared" si="0"/>
        <v>Conservador-FOFs</v>
      </c>
      <c r="B6" t="s">
        <v>16</v>
      </c>
      <c r="C6" t="s">
        <v>25</v>
      </c>
      <c r="D6" s="30">
        <v>0.1</v>
      </c>
    </row>
    <row r="7" spans="1:4">
      <c r="A7" t="str">
        <f t="shared" si="0"/>
        <v>Conservador-DESENVOLVIMENTO</v>
      </c>
      <c r="B7" t="s">
        <v>16</v>
      </c>
      <c r="C7" t="s">
        <v>26</v>
      </c>
      <c r="D7" s="30">
        <v>0</v>
      </c>
    </row>
    <row r="8" spans="1:4" ht="15.75" thickBot="1">
      <c r="A8" s="31" t="str">
        <f t="shared" si="0"/>
        <v>Conservador-HOTELARIAS</v>
      </c>
      <c r="B8" s="31" t="s">
        <v>16</v>
      </c>
      <c r="C8" s="31" t="s">
        <v>27</v>
      </c>
      <c r="D8" s="32">
        <v>0</v>
      </c>
    </row>
    <row r="9" spans="1:4">
      <c r="A9" t="str">
        <f t="shared" si="0"/>
        <v>Moderado-PAPEL</v>
      </c>
      <c r="B9" t="s">
        <v>29</v>
      </c>
      <c r="C9" t="s">
        <v>22</v>
      </c>
      <c r="D9" s="33">
        <v>0.32</v>
      </c>
    </row>
    <row r="10" spans="1:4">
      <c r="A10" t="str">
        <f t="shared" si="0"/>
        <v>Moderado-TIJOLO</v>
      </c>
      <c r="B10" t="s">
        <v>29</v>
      </c>
      <c r="C10" t="s">
        <v>23</v>
      </c>
      <c r="D10" s="33">
        <v>0.35</v>
      </c>
    </row>
    <row r="11" spans="1:4">
      <c r="A11" t="str">
        <f t="shared" si="0"/>
        <v>Moderado-HÍBRIDOS</v>
      </c>
      <c r="B11" t="s">
        <v>29</v>
      </c>
      <c r="C11" t="s">
        <v>24</v>
      </c>
      <c r="D11" s="33">
        <v>0.08</v>
      </c>
    </row>
    <row r="12" spans="1:4">
      <c r="A12" t="str">
        <f t="shared" si="0"/>
        <v>Moderado-FOFs</v>
      </c>
      <c r="B12" t="s">
        <v>29</v>
      </c>
      <c r="C12" t="s">
        <v>25</v>
      </c>
      <c r="D12" s="33">
        <v>0.05</v>
      </c>
    </row>
    <row r="13" spans="1:4">
      <c r="A13" t="str">
        <f t="shared" si="0"/>
        <v>Moderado-DESENVOLVIMENTO</v>
      </c>
      <c r="B13" t="s">
        <v>29</v>
      </c>
      <c r="C13" t="s">
        <v>26</v>
      </c>
      <c r="D13" s="33">
        <v>0.1</v>
      </c>
    </row>
    <row r="14" spans="1:4" ht="15.75" thickBot="1">
      <c r="A14" s="31" t="str">
        <f t="shared" si="0"/>
        <v>Moderado-HOTELARIAS</v>
      </c>
      <c r="B14" s="31" t="s">
        <v>29</v>
      </c>
      <c r="C14" s="31" t="s">
        <v>27</v>
      </c>
      <c r="D14" s="32">
        <v>0.1</v>
      </c>
    </row>
    <row r="15" spans="1:4">
      <c r="A15" t="str">
        <f t="shared" si="0"/>
        <v>Agressivo-PAPEL</v>
      </c>
      <c r="B15" t="s">
        <v>30</v>
      </c>
      <c r="C15" t="s">
        <v>22</v>
      </c>
      <c r="D15" s="33">
        <v>0.5</v>
      </c>
    </row>
    <row r="16" spans="1:4">
      <c r="A16" t="str">
        <f t="shared" si="0"/>
        <v>Agressivo-TIJOLO</v>
      </c>
      <c r="B16" t="s">
        <v>30</v>
      </c>
      <c r="C16" t="s">
        <v>23</v>
      </c>
      <c r="D16" s="33">
        <v>0.1</v>
      </c>
    </row>
    <row r="17" spans="1:4">
      <c r="A17" t="str">
        <f t="shared" si="0"/>
        <v>Agressivo-HÍBRIDOS</v>
      </c>
      <c r="B17" t="s">
        <v>30</v>
      </c>
      <c r="C17" t="s">
        <v>24</v>
      </c>
      <c r="D17" s="33">
        <v>0.05</v>
      </c>
    </row>
    <row r="18" spans="1:4">
      <c r="A18" t="str">
        <f t="shared" si="0"/>
        <v>Agressivo-FOFs</v>
      </c>
      <c r="B18" t="s">
        <v>30</v>
      </c>
      <c r="C18" t="s">
        <v>25</v>
      </c>
      <c r="D18" s="33">
        <v>0.05</v>
      </c>
    </row>
    <row r="19" spans="1:4">
      <c r="A19" t="str">
        <f t="shared" si="0"/>
        <v>Agressivo-DESENVOLVIMENTO</v>
      </c>
      <c r="B19" t="s">
        <v>30</v>
      </c>
      <c r="C19" t="s">
        <v>26</v>
      </c>
      <c r="D19" s="33">
        <v>0.2</v>
      </c>
    </row>
    <row r="20" spans="1:4">
      <c r="A20" t="str">
        <f t="shared" si="0"/>
        <v>Agressivo-HOTELARIAS</v>
      </c>
      <c r="B20" t="s">
        <v>30</v>
      </c>
      <c r="C20" t="s">
        <v>27</v>
      </c>
      <c r="D20" s="33">
        <v>0.1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Simulador</vt:lpstr>
      <vt:lpstr>Apoio</vt:lpstr>
      <vt:lpstr>aporte</vt:lpstr>
      <vt:lpstr>aporte_inicial</vt:lpstr>
      <vt:lpstr>investimento_mensal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Tadeu Rabelo</dc:creator>
  <cp:lastModifiedBy>Anderson Tadeu Rabelo</cp:lastModifiedBy>
  <dcterms:created xsi:type="dcterms:W3CDTF">2025-12-19T18:29:25Z</dcterms:created>
  <dcterms:modified xsi:type="dcterms:W3CDTF">2025-12-20T21:45:26Z</dcterms:modified>
</cp:coreProperties>
</file>