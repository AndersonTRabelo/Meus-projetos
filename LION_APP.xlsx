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307efe63de43ff6/Documents/Diversos/Excel na DIO/"/>
    </mc:Choice>
  </mc:AlternateContent>
  <xr:revisionPtr revIDLastSave="344" documentId="8_{A9C8996E-4D78-4DF2-BCFD-AFCD287E5D6A}" xr6:coauthVersionLast="47" xr6:coauthVersionMax="47" xr10:uidLastSave="{A092F773-1A18-46EB-8B12-339313C87264}"/>
  <bookViews>
    <workbookView xWindow="-120" yWindow="-120" windowWidth="20730" windowHeight="11760" tabRatio="0" xr2:uid="{E31DF651-85B9-4F97-817B-1348DA971FD3}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3" l="1"/>
  <c r="E23" i="3"/>
  <c r="C7" i="2"/>
</calcChain>
</file>

<file path=xl/sharedStrings.xml><?xml version="1.0" encoding="utf-8"?>
<sst xmlns="http://schemas.openxmlformats.org/spreadsheetml/2006/main" count="110" uniqueCount="95">
  <si>
    <t>NOME</t>
  </si>
  <si>
    <t>CPF</t>
  </si>
  <si>
    <t>NASCIMENTO</t>
  </si>
  <si>
    <t>CÔNJUGE</t>
  </si>
  <si>
    <t>RUA</t>
  </si>
  <si>
    <t>RUA ABREVIADA</t>
  </si>
  <si>
    <t>CEP</t>
  </si>
  <si>
    <t>TELEFONE</t>
  </si>
  <si>
    <t>CELULAR</t>
  </si>
  <si>
    <t>EMAIL</t>
  </si>
  <si>
    <t>HOUVE ALTERAÇÕES DA ENTREGA ANTERIOR</t>
  </si>
  <si>
    <t>DEPENDENTE CÔNJUGE</t>
  </si>
  <si>
    <t>RESIDENTE DO EXTERIOR</t>
  </si>
  <si>
    <t>TÍTULO DE ELEITOR</t>
  </si>
  <si>
    <t>1. DADOS DO TITULAR</t>
  </si>
  <si>
    <t>preencha os dados da sua pessoa física abaixo</t>
  </si>
  <si>
    <t>FELIPE SKYWALKER NOBABU</t>
  </si>
  <si>
    <t>MARTA SILVA</t>
  </si>
  <si>
    <t>felipe@master.com</t>
  </si>
  <si>
    <t>SIM</t>
  </si>
  <si>
    <t>NÃO</t>
  </si>
  <si>
    <t>2. INFORMES DE RENDIMENTOS BANCÁRIOS</t>
  </si>
  <si>
    <t>preencha os seus dados atuais de cada banco</t>
  </si>
  <si>
    <t>BANCO</t>
  </si>
  <si>
    <t>VALOR ATUAL</t>
  </si>
  <si>
    <t>ANEXO 🖇️</t>
  </si>
  <si>
    <t>BANCOX.PDF</t>
  </si>
  <si>
    <t>bancos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</si>
  <si>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</si>
  <si>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</si>
  <si>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</si>
  <si>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</si>
  <si>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</si>
  <si>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</si>
  <si>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</si>
  <si>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</si>
  <si>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</si>
  <si>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</si>
  <si>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</si>
  <si>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</si>
  <si>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</si>
  <si>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</si>
  <si>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</si>
  <si>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</si>
  <si>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</si>
  <si>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</si>
  <si>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</si>
  <si>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</si>
  <si>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</si>
  <si>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</si>
  <si>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</si>
  <si>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</si>
  <si>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</si>
  <si>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</si>
  <si>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</si>
  <si>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</si>
  <si>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</si>
  <si>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</si>
  <si>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</si>
  <si>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</si>
  <si>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</si>
  <si>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</si>
  <si>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</si>
  <si>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</si>
  <si>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</si>
  <si>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</si>
  <si>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</si>
  <si>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</si>
  <si>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</si>
  <si>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</si>
  <si>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</si>
  <si>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</si>
  <si>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</si>
  <si>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</si>
  <si>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</si>
  <si>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</si>
  <si>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</si>
  <si>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</si>
  <si>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1° Banco</t>
  </si>
  <si>
    <t>Rua dos Alecrins Dourados, N° 168</t>
  </si>
  <si>
    <t>Rua dos Alecrins D. , N° 168</t>
  </si>
  <si>
    <t>2° Banco</t>
  </si>
  <si>
    <t>3° Banco</t>
  </si>
  <si>
    <t>BANCO_PE.PDF</t>
  </si>
  <si>
    <t>BANCO_BON.PDF</t>
  </si>
  <si>
    <t>TOTAL</t>
  </si>
  <si>
    <t>DATA</t>
  </si>
  <si>
    <t>CATEGORIA</t>
  </si>
  <si>
    <t>VALOR</t>
  </si>
  <si>
    <t>CLT</t>
  </si>
  <si>
    <t>RECEITAS</t>
  </si>
  <si>
    <t>PAGAMENTOS EFETUADOS</t>
  </si>
  <si>
    <t>INSTRUÇÃO</t>
  </si>
  <si>
    <t>preencha os valores de receita e despesas realizadas mês a mês</t>
  </si>
  <si>
    <t>3. RECEBIMENTOS OU PAGAMENTOS EFETUADOS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</si>
</sst>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9" formatCode="000&quot;.&quot;000&quot;.&quot;000&quot;-&quot;00"/>
    <numFmt numFmtId="170" formatCode="00000\-000"/>
    <numFmt numFmtId="172" formatCode="&quot;(&quot;00&quot;)&quot;\ 0000&quot;-&quot;0000"/>
    <numFmt numFmtId="173" formatCode="&quot;(&quot;00&quot;)&quot;\ 00000&quot;-&quot;0000"/>
    <numFmt numFmtId="174" formatCode="&quot;R$&quot;\ #,##0.00"/>
    <numFmt numFmtId="176" formatCode="mmmm\ \-\ yyyy"/>
  </numFmts>
  <fonts count="17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theme="1"/>
      <name val="Segoe UI Light"/>
      <family val="2"/>
    </font>
    <font>
      <b/>
      <sz val="15"/>
      <color rgb="FF6124E8"/>
      <name val="Aptos Narrow"/>
      <family val="2"/>
      <scheme val="minor"/>
    </font>
    <font>
      <i/>
      <sz val="11"/>
      <color theme="1" tint="0.249977111117893"/>
      <name val="Sugoe ui light"/>
    </font>
    <font>
      <sz val="11"/>
      <color rgb="FF000000"/>
      <name val="Aptos Narrow"/>
      <family val="2"/>
      <scheme val="minor"/>
    </font>
    <font>
      <sz val="8"/>
      <color theme="2" tint="-0.499984740745262"/>
      <name val="Aptos Narrow"/>
      <family val="2"/>
      <scheme val="minor"/>
    </font>
    <font>
      <b/>
      <sz val="11"/>
      <color theme="1"/>
      <name val="Segoe UI Light"/>
      <family val="2"/>
    </font>
    <font>
      <b/>
      <sz val="12"/>
      <color rgb="FF9C5700"/>
      <name val="Aptos Narrow"/>
      <family val="2"/>
      <scheme val="minor"/>
    </font>
    <font>
      <b/>
      <sz val="11"/>
      <color theme="0"/>
      <name val="Segoe UI Light"/>
      <family val="2"/>
    </font>
    <font>
      <sz val="11"/>
      <color theme="1"/>
      <name val="Segoe UI"/>
      <family val="2"/>
    </font>
    <font>
      <b/>
      <sz val="10"/>
      <color theme="1"/>
      <name val="Segoe UI"/>
      <family val="2"/>
    </font>
    <font>
      <u/>
      <sz val="11"/>
      <color theme="1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E1317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EE37BF"/>
        <bgColor indexed="64"/>
      </patternFill>
    </fill>
    <fill>
      <patternFill patternType="solid">
        <fgColor rgb="FF6124E8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EE37BF"/>
      </bottom>
      <diagonal/>
    </border>
    <border>
      <left/>
      <right/>
      <top style="thick">
        <color rgb="FFEE37BF"/>
      </top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0" fillId="3" borderId="0" xfId="0" applyFill="1"/>
    <xf numFmtId="0" fontId="6" fillId="0" borderId="2" xfId="0" applyFont="1" applyBorder="1" applyAlignment="1">
      <alignment horizontal="right"/>
    </xf>
    <xf numFmtId="0" fontId="7" fillId="0" borderId="3" xfId="1" applyFont="1" applyBorder="1"/>
    <xf numFmtId="0" fontId="1" fillId="0" borderId="3" xfId="1" applyBorder="1"/>
    <xf numFmtId="0" fontId="8" fillId="4" borderId="4" xfId="0" applyFont="1" applyFill="1" applyBorder="1" applyAlignment="1">
      <alignment horizontal="left" vertical="center" indent="3"/>
    </xf>
    <xf numFmtId="0" fontId="9" fillId="0" borderId="0" xfId="0" applyFont="1"/>
    <xf numFmtId="0" fontId="3" fillId="5" borderId="0" xfId="0" applyFont="1" applyFill="1"/>
    <xf numFmtId="0" fontId="10" fillId="0" borderId="0" xfId="0" applyFont="1"/>
    <xf numFmtId="0" fontId="11" fillId="0" borderId="0" xfId="0" applyFont="1"/>
    <xf numFmtId="174" fontId="12" fillId="2" borderId="0" xfId="2" applyNumberFormat="1" applyFont="1" applyAlignment="1">
      <alignment horizontal="center" vertical="center"/>
    </xf>
    <xf numFmtId="0" fontId="12" fillId="2" borderId="0" xfId="2" applyFont="1" applyAlignment="1">
      <alignment horizontal="center" vertical="center"/>
    </xf>
    <xf numFmtId="0" fontId="13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/>
    </xf>
    <xf numFmtId="0" fontId="15" fillId="0" borderId="0" xfId="0" applyFont="1" applyAlignment="1">
      <alignment horizontal="center"/>
    </xf>
    <xf numFmtId="0" fontId="2" fillId="2" borderId="2" xfId="2" applyBorder="1" applyAlignment="1" applyProtection="1">
      <alignment horizontal="left"/>
      <protection locked="0"/>
    </xf>
    <xf numFmtId="169" fontId="2" fillId="2" borderId="2" xfId="2" applyNumberFormat="1" applyBorder="1" applyAlignment="1" applyProtection="1">
      <alignment horizontal="left"/>
      <protection locked="0"/>
    </xf>
    <xf numFmtId="14" fontId="2" fillId="2" borderId="2" xfId="2" applyNumberFormat="1" applyBorder="1" applyAlignment="1" applyProtection="1">
      <alignment horizontal="left"/>
      <protection locked="0"/>
    </xf>
    <xf numFmtId="170" fontId="2" fillId="2" borderId="2" xfId="2" applyNumberFormat="1" applyBorder="1" applyAlignment="1" applyProtection="1">
      <alignment horizontal="left"/>
      <protection locked="0"/>
    </xf>
    <xf numFmtId="172" fontId="2" fillId="2" borderId="2" xfId="2" applyNumberFormat="1" applyBorder="1" applyAlignment="1" applyProtection="1">
      <alignment horizontal="left"/>
      <protection locked="0"/>
    </xf>
    <xf numFmtId="173" fontId="2" fillId="2" borderId="2" xfId="2" applyNumberFormat="1" applyBorder="1" applyAlignment="1" applyProtection="1">
      <alignment horizontal="left"/>
      <protection locked="0"/>
    </xf>
    <xf numFmtId="0" fontId="5" fillId="2" borderId="2" xfId="3" applyFill="1" applyBorder="1" applyAlignment="1" applyProtection="1">
      <alignment horizontal="left"/>
      <protection locked="0"/>
    </xf>
    <xf numFmtId="174" fontId="2" fillId="2" borderId="2" xfId="2" applyNumberFormat="1" applyBorder="1" applyAlignment="1" applyProtection="1">
      <alignment horizontal="left"/>
      <protection locked="0"/>
    </xf>
    <xf numFmtId="176" fontId="14" fillId="0" borderId="0" xfId="0" applyNumberFormat="1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174" fontId="14" fillId="0" borderId="0" xfId="0" applyNumberFormat="1" applyFont="1" applyAlignment="1" applyProtection="1">
      <alignment horizontal="center"/>
      <protection locked="0"/>
    </xf>
    <xf numFmtId="174" fontId="16" fillId="0" borderId="0" xfId="3" applyNumberFormat="1" applyFont="1" applyAlignment="1" applyProtection="1">
      <alignment horizontal="center"/>
      <protection locked="0"/>
    </xf>
    <xf numFmtId="0" fontId="13" fillId="7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8" fillId="4" borderId="0" xfId="0" applyFont="1" applyFill="1" applyBorder="1" applyAlignment="1">
      <alignment horizontal="center" vertical="center"/>
    </xf>
  </cellXfs>
  <cellStyles count="4">
    <cellStyle name="Hiperlink" xfId="3" builtinId="8"/>
    <cellStyle name="Neutro" xfId="2" builtinId="28"/>
    <cellStyle name="Normal" xfId="0" builtinId="0"/>
    <cellStyle name="Título 1" xfId="1" builtinId="16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4" formatCode="&quot;R$&quot;\ #,##0.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numFmt numFmtId="174" formatCode="&quot;R$&quot;\ #,##0.00"/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1"/>
        <name val="Segoe UI"/>
        <family val="2"/>
        <scheme val="none"/>
      </font>
      <numFmt numFmtId="174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1"/>
        <name val="Segoe UI"/>
        <family val="2"/>
        <scheme val="none"/>
      </font>
      <numFmt numFmtId="174" formatCode="&quot;R$&quot;\ #,##0.00"/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strike val="0"/>
        <outline val="0"/>
        <shadow val="0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1"/>
        <name val="Segoe UI"/>
        <family val="2"/>
        <scheme val="none"/>
      </font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6124E8"/>
      <color rgb="FFEE37BF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anderson-tadeu-rabelo" TargetMode="External"/><Relationship Id="rId4" Type="http://schemas.openxmlformats.org/officeDocument/2006/relationships/hyperlink" Target="#NOTAS!C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anderson-tadeu-rabelo" TargetMode="External"/><Relationship Id="rId4" Type="http://schemas.openxmlformats.org/officeDocument/2006/relationships/hyperlink" Target="#NOTAS!C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INFORMES!C1"/><Relationship Id="rId2" Type="http://schemas.openxmlformats.org/officeDocument/2006/relationships/hyperlink" Target="#TITULAR!C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anderson-tadeu-rabelo" TargetMode="External"/><Relationship Id="rId4" Type="http://schemas.openxmlformats.org/officeDocument/2006/relationships/hyperlink" Target="#NOTAS!C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528638</xdr:colOff>
      <xdr:row>2</xdr:row>
      <xdr:rowOff>133351</xdr:rowOff>
    </xdr:from>
    <xdr:to>
      <xdr:col>0</xdr:col>
      <xdr:colOff>1404937</xdr:colOff>
      <xdr:row>6</xdr:row>
      <xdr:rowOff>66675</xdr:rowOff>
    </xdr:to>
    <xdr:pic>
      <xdr:nvPicPr>
        <xdr:cNvPr id="6" name="Imagem 5" descr="Lion - Free animals icons">
          <a:extLst>
            <a:ext uri="{FF2B5EF4-FFF2-40B4-BE49-F238E27FC236}">
              <a16:creationId xmlns:a16="http://schemas.microsoft.com/office/drawing/2014/main" id="{741152D5-36B4-4FA3-4EC9-E48263B30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8" y="514351"/>
          <a:ext cx="876299" cy="876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185738</xdr:colOff>
      <xdr:row>0</xdr:row>
      <xdr:rowOff>85725</xdr:rowOff>
    </xdr:from>
    <xdr:to>
      <xdr:col>0</xdr:col>
      <xdr:colOff>1747837</xdr:colOff>
      <xdr:row>2</xdr:row>
      <xdr:rowOff>85725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D5744099-2F69-4390-63E1-2462942778B0}"/>
            </a:ext>
          </a:extLst>
        </xdr:cNvPr>
        <xdr:cNvSpPr/>
      </xdr:nvSpPr>
      <xdr:spPr>
        <a:xfrm>
          <a:off x="185738" y="85725"/>
          <a:ext cx="1562099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31000">
                    <a:srgbClr val="EE37BF"/>
                  </a:gs>
                  <a:gs pos="83000">
                    <a:srgbClr val="6124E8"/>
                  </a:gs>
                  <a:gs pos="7000">
                    <a:schemeClr val="bg1"/>
                  </a:gs>
                </a:gsLst>
                <a:lin ang="0" scaled="0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138113</xdr:colOff>
      <xdr:row>7</xdr:row>
      <xdr:rowOff>171450</xdr:rowOff>
    </xdr:from>
    <xdr:to>
      <xdr:col>0</xdr:col>
      <xdr:colOff>1824038</xdr:colOff>
      <xdr:row>9</xdr:row>
      <xdr:rowOff>95250</xdr:rowOff>
    </xdr:to>
    <xdr:sp macro="" textlink="">
      <xdr:nvSpPr>
        <xdr:cNvPr id="8" name="Retângulo: Cantos Arredondados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BC3BA4BF-6038-F8D7-E820-0D7E3560D8D7}"/>
            </a:ext>
          </a:extLst>
        </xdr:cNvPr>
        <xdr:cNvSpPr/>
      </xdr:nvSpPr>
      <xdr:spPr>
        <a:xfrm>
          <a:off x="138113" y="1704975"/>
          <a:ext cx="1685925" cy="342900"/>
        </a:xfrm>
        <a:prstGeom prst="roundRect">
          <a:avLst>
            <a:gd name="adj" fmla="val 50000"/>
          </a:avLst>
        </a:prstGeom>
        <a:gradFill flip="none" rotWithShape="1">
          <a:gsLst>
            <a:gs pos="31000">
              <a:srgbClr val="EE37BF">
                <a:lumMod val="80000"/>
                <a:lumOff val="20000"/>
                <a:alpha val="69000"/>
              </a:srgbClr>
            </a:gs>
            <a:gs pos="92000">
              <a:srgbClr val="6124E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138113</xdr:colOff>
      <xdr:row>10</xdr:row>
      <xdr:rowOff>71438</xdr:rowOff>
    </xdr:from>
    <xdr:to>
      <xdr:col>0</xdr:col>
      <xdr:colOff>1824038</xdr:colOff>
      <xdr:row>11</xdr:row>
      <xdr:rowOff>204788</xdr:rowOff>
    </xdr:to>
    <xdr:sp macro="" textlink="">
      <xdr:nvSpPr>
        <xdr:cNvPr id="9" name="Retângulo: Cantos Arredondados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5587916-A4CC-4860-BDF8-E166764AAE50}"/>
            </a:ext>
          </a:extLst>
        </xdr:cNvPr>
        <xdr:cNvSpPr/>
      </xdr:nvSpPr>
      <xdr:spPr>
        <a:xfrm>
          <a:off x="138113" y="2233613"/>
          <a:ext cx="1685925" cy="3429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138113</xdr:colOff>
      <xdr:row>12</xdr:row>
      <xdr:rowOff>180975</xdr:rowOff>
    </xdr:from>
    <xdr:to>
      <xdr:col>0</xdr:col>
      <xdr:colOff>1824038</xdr:colOff>
      <xdr:row>14</xdr:row>
      <xdr:rowOff>104775</xdr:rowOff>
    </xdr:to>
    <xdr:sp macro="" textlink="">
      <xdr:nvSpPr>
        <xdr:cNvPr id="10" name="Retângulo: Cantos Arredondados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28DF6B7-B41A-4881-A7C5-FC4549B4824C}"/>
            </a:ext>
          </a:extLst>
        </xdr:cNvPr>
        <xdr:cNvSpPr/>
      </xdr:nvSpPr>
      <xdr:spPr>
        <a:xfrm>
          <a:off x="138113" y="2762250"/>
          <a:ext cx="1685925" cy="3429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RECIBOS</a:t>
          </a:r>
        </a:p>
      </xdr:txBody>
    </xdr:sp>
    <xdr:clientData/>
  </xdr:twoCellAnchor>
  <xdr:twoCellAnchor editAs="absolute">
    <xdr:from>
      <xdr:col>0</xdr:col>
      <xdr:colOff>428624</xdr:colOff>
      <xdr:row>14</xdr:row>
      <xdr:rowOff>180975</xdr:rowOff>
    </xdr:from>
    <xdr:to>
      <xdr:col>0</xdr:col>
      <xdr:colOff>1657349</xdr:colOff>
      <xdr:row>17</xdr:row>
      <xdr:rowOff>161925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EFFC5B4B-6D20-DFFF-BA99-17B55497579B}"/>
            </a:ext>
          </a:extLst>
        </xdr:cNvPr>
        <xdr:cNvSpPr/>
      </xdr:nvSpPr>
      <xdr:spPr>
        <a:xfrm>
          <a:off x="428624" y="3181350"/>
          <a:ext cx="1228725" cy="609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SISTEM BY ATR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295275</xdr:colOff>
      <xdr:row>15</xdr:row>
      <xdr:rowOff>161925</xdr:rowOff>
    </xdr:from>
    <xdr:to>
      <xdr:col>0</xdr:col>
      <xdr:colOff>1724025</xdr:colOff>
      <xdr:row>15</xdr:row>
      <xdr:rowOff>161925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08B4300E-022E-98BD-FB8D-6AC396DA65C4}"/>
            </a:ext>
          </a:extLst>
        </xdr:cNvPr>
        <xdr:cNvCxnSpPr/>
      </xdr:nvCxnSpPr>
      <xdr:spPr>
        <a:xfrm>
          <a:off x="295275" y="3371850"/>
          <a:ext cx="1428750" cy="0"/>
        </a:xfrm>
        <a:prstGeom prst="line">
          <a:avLst/>
        </a:prstGeom>
        <a:ln w="9525">
          <a:solidFill>
            <a:srgbClr val="EE37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600075</xdr:colOff>
      <xdr:row>17</xdr:row>
      <xdr:rowOff>0</xdr:rowOff>
    </xdr:from>
    <xdr:to>
      <xdr:col>0</xdr:col>
      <xdr:colOff>1247775</xdr:colOff>
      <xdr:row>20</xdr:row>
      <xdr:rowOff>38100</xdr:rowOff>
    </xdr:to>
    <xdr:pic>
      <xdr:nvPicPr>
        <xdr:cNvPr id="15" name="Imagem 14" descr="Linkedin circled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7BFE733-ABF0-4158-9EA5-DAD2A7728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3629025"/>
          <a:ext cx="6477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104775</xdr:colOff>
      <xdr:row>19</xdr:row>
      <xdr:rowOff>180975</xdr:rowOff>
    </xdr:from>
    <xdr:to>
      <xdr:col>3</xdr:col>
      <xdr:colOff>2800350</xdr:colOff>
      <xdr:row>21</xdr:row>
      <xdr:rowOff>85725</xdr:rowOff>
    </xdr:to>
    <xdr:sp macro="" textlink="">
      <xdr:nvSpPr>
        <xdr:cNvPr id="16" name="Retângulo 1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29A80C8-CD36-391F-E1C0-816823DEBD0B}"/>
            </a:ext>
          </a:extLst>
        </xdr:cNvPr>
        <xdr:cNvSpPr/>
      </xdr:nvSpPr>
      <xdr:spPr>
        <a:xfrm>
          <a:off x="5514975" y="4229100"/>
          <a:ext cx="2695575" cy="28575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PRÓXIMO --&gt;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528638</xdr:colOff>
      <xdr:row>2</xdr:row>
      <xdr:rowOff>133351</xdr:rowOff>
    </xdr:from>
    <xdr:to>
      <xdr:col>0</xdr:col>
      <xdr:colOff>1404937</xdr:colOff>
      <xdr:row>6</xdr:row>
      <xdr:rowOff>66675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3A8B481E-F476-44B5-8225-07D31A69A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8" y="514351"/>
          <a:ext cx="876299" cy="876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185738</xdr:colOff>
      <xdr:row>0</xdr:row>
      <xdr:rowOff>85725</xdr:rowOff>
    </xdr:from>
    <xdr:to>
      <xdr:col>0</xdr:col>
      <xdr:colOff>1747837</xdr:colOff>
      <xdr:row>2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89E68F7E-AB29-4486-85F9-E811E434E8C3}"/>
            </a:ext>
          </a:extLst>
        </xdr:cNvPr>
        <xdr:cNvSpPr/>
      </xdr:nvSpPr>
      <xdr:spPr>
        <a:xfrm>
          <a:off x="185738" y="85725"/>
          <a:ext cx="1562099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31000">
                    <a:srgbClr val="EE37BF"/>
                  </a:gs>
                  <a:gs pos="83000">
                    <a:srgbClr val="6124E8"/>
                  </a:gs>
                  <a:gs pos="7000">
                    <a:schemeClr val="bg1"/>
                  </a:gs>
                </a:gsLst>
                <a:lin ang="0" scaled="0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138113</xdr:colOff>
      <xdr:row>7</xdr:row>
      <xdr:rowOff>114300</xdr:rowOff>
    </xdr:from>
    <xdr:to>
      <xdr:col>0</xdr:col>
      <xdr:colOff>1824038</xdr:colOff>
      <xdr:row>9</xdr:row>
      <xdr:rowOff>76200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9A970146-4806-4735-BB50-E3B1F3ABBE18}"/>
            </a:ext>
          </a:extLst>
        </xdr:cNvPr>
        <xdr:cNvSpPr/>
      </xdr:nvSpPr>
      <xdr:spPr>
        <a:xfrm>
          <a:off x="138113" y="1704975"/>
          <a:ext cx="1685925" cy="3429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138113</xdr:colOff>
      <xdr:row>10</xdr:row>
      <xdr:rowOff>52388</xdr:rowOff>
    </xdr:from>
    <xdr:to>
      <xdr:col>0</xdr:col>
      <xdr:colOff>1824038</xdr:colOff>
      <xdr:row>11</xdr:row>
      <xdr:rowOff>185738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A422D95-6B70-4162-99AC-81B691F25A5D}"/>
            </a:ext>
          </a:extLst>
        </xdr:cNvPr>
        <xdr:cNvSpPr/>
      </xdr:nvSpPr>
      <xdr:spPr>
        <a:xfrm>
          <a:off x="138113" y="2233613"/>
          <a:ext cx="1685925" cy="342900"/>
        </a:xfrm>
        <a:prstGeom prst="roundRect">
          <a:avLst>
            <a:gd name="adj" fmla="val 50000"/>
          </a:avLst>
        </a:prstGeom>
        <a:gradFill flip="none" rotWithShape="1">
          <a:gsLst>
            <a:gs pos="31000">
              <a:srgbClr val="EE37BF">
                <a:lumMod val="80000"/>
                <a:lumOff val="20000"/>
                <a:alpha val="69000"/>
              </a:srgbClr>
            </a:gs>
            <a:gs pos="92000">
              <a:srgbClr val="6124E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138113</xdr:colOff>
      <xdr:row>12</xdr:row>
      <xdr:rowOff>161925</xdr:rowOff>
    </xdr:from>
    <xdr:to>
      <xdr:col>0</xdr:col>
      <xdr:colOff>1824038</xdr:colOff>
      <xdr:row>14</xdr:row>
      <xdr:rowOff>123825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36F7537-4264-445B-96CD-851969453C6A}"/>
            </a:ext>
          </a:extLst>
        </xdr:cNvPr>
        <xdr:cNvSpPr/>
      </xdr:nvSpPr>
      <xdr:spPr>
        <a:xfrm>
          <a:off x="138113" y="2762250"/>
          <a:ext cx="1685925" cy="3429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RECIBOS</a:t>
          </a:r>
        </a:p>
      </xdr:txBody>
    </xdr:sp>
    <xdr:clientData/>
  </xdr:twoCellAnchor>
  <xdr:twoCellAnchor editAs="absolute">
    <xdr:from>
      <xdr:col>0</xdr:col>
      <xdr:colOff>428624</xdr:colOff>
      <xdr:row>14</xdr:row>
      <xdr:rowOff>200025</xdr:rowOff>
    </xdr:from>
    <xdr:to>
      <xdr:col>0</xdr:col>
      <xdr:colOff>1657349</xdr:colOff>
      <xdr:row>17</xdr:row>
      <xdr:rowOff>180975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EC57A04-8C12-474D-93D0-9CC6B25F1262}"/>
            </a:ext>
          </a:extLst>
        </xdr:cNvPr>
        <xdr:cNvSpPr/>
      </xdr:nvSpPr>
      <xdr:spPr>
        <a:xfrm>
          <a:off x="428624" y="3181350"/>
          <a:ext cx="1228725" cy="609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SISTEM BY ATR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295275</xdr:colOff>
      <xdr:row>15</xdr:row>
      <xdr:rowOff>180975</xdr:rowOff>
    </xdr:from>
    <xdr:to>
      <xdr:col>0</xdr:col>
      <xdr:colOff>1724025</xdr:colOff>
      <xdr:row>15</xdr:row>
      <xdr:rowOff>180975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2A31A2E3-0D73-421C-A809-BD0BBE5DFB4E}"/>
            </a:ext>
          </a:extLst>
        </xdr:cNvPr>
        <xdr:cNvCxnSpPr/>
      </xdr:nvCxnSpPr>
      <xdr:spPr>
        <a:xfrm>
          <a:off x="295275" y="3371850"/>
          <a:ext cx="1428750" cy="0"/>
        </a:xfrm>
        <a:prstGeom prst="line">
          <a:avLst/>
        </a:prstGeom>
        <a:ln w="9525">
          <a:solidFill>
            <a:srgbClr val="EE37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600075</xdr:colOff>
      <xdr:row>17</xdr:row>
      <xdr:rowOff>19050</xdr:rowOff>
    </xdr:from>
    <xdr:to>
      <xdr:col>0</xdr:col>
      <xdr:colOff>1247775</xdr:colOff>
      <xdr:row>20</xdr:row>
      <xdr:rowOff>76200</xdr:rowOff>
    </xdr:to>
    <xdr:pic>
      <xdr:nvPicPr>
        <xdr:cNvPr id="9" name="Imagem 8" descr="Linkedin circled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DE89D42-00F4-4CFD-8103-1C1F769E2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3629025"/>
          <a:ext cx="6477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3</xdr:col>
      <xdr:colOff>0</xdr:colOff>
      <xdr:row>23</xdr:row>
      <xdr:rowOff>0</xdr:rowOff>
    </xdr:from>
    <xdr:to>
      <xdr:col>3</xdr:col>
      <xdr:colOff>2695575</xdr:colOff>
      <xdr:row>24</xdr:row>
      <xdr:rowOff>95250</xdr:rowOff>
    </xdr:to>
    <xdr:sp macro="" textlink="">
      <xdr:nvSpPr>
        <xdr:cNvPr id="10" name="Retângulo 9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2A9074ED-FB94-4433-A165-B1272EA68850}"/>
            </a:ext>
          </a:extLst>
        </xdr:cNvPr>
        <xdr:cNvSpPr/>
      </xdr:nvSpPr>
      <xdr:spPr>
        <a:xfrm>
          <a:off x="5410200" y="4810125"/>
          <a:ext cx="2695575" cy="28575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PRÓXIMO --&gt;</a:t>
          </a:r>
        </a:p>
      </xdr:txBody>
    </xdr:sp>
    <xdr:clientData/>
  </xdr:twoCellAnchor>
  <xdr:twoCellAnchor editAs="absolute">
    <xdr:from>
      <xdr:col>2</xdr:col>
      <xdr:colOff>180975</xdr:colOff>
      <xdr:row>22</xdr:row>
      <xdr:rowOff>180975</xdr:rowOff>
    </xdr:from>
    <xdr:to>
      <xdr:col>2</xdr:col>
      <xdr:colOff>2876550</xdr:colOff>
      <xdr:row>24</xdr:row>
      <xdr:rowOff>85725</xdr:rowOff>
    </xdr:to>
    <xdr:sp macro="" textlink="">
      <xdr:nvSpPr>
        <xdr:cNvPr id="11" name="Retângulo 10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2FE3F8E-0E2E-4A2C-B66D-6780E6D80959}"/>
            </a:ext>
          </a:extLst>
        </xdr:cNvPr>
        <xdr:cNvSpPr/>
      </xdr:nvSpPr>
      <xdr:spPr>
        <a:xfrm>
          <a:off x="2676525" y="4800600"/>
          <a:ext cx="2695575" cy="28575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&lt;--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528638</xdr:colOff>
      <xdr:row>2</xdr:row>
      <xdr:rowOff>133351</xdr:rowOff>
    </xdr:from>
    <xdr:to>
      <xdr:col>0</xdr:col>
      <xdr:colOff>1404937</xdr:colOff>
      <xdr:row>6</xdr:row>
      <xdr:rowOff>85725</xdr:rowOff>
    </xdr:to>
    <xdr:pic>
      <xdr:nvPicPr>
        <xdr:cNvPr id="2" name="Imagem 1" descr="Lion - Free animals icons">
          <a:extLst>
            <a:ext uri="{FF2B5EF4-FFF2-40B4-BE49-F238E27FC236}">
              <a16:creationId xmlns:a16="http://schemas.microsoft.com/office/drawing/2014/main" id="{8A462C73-BE9F-4035-9F64-AB005E392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8638" y="514351"/>
          <a:ext cx="876299" cy="8762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185738</xdr:colOff>
      <xdr:row>0</xdr:row>
      <xdr:rowOff>85725</xdr:rowOff>
    </xdr:from>
    <xdr:to>
      <xdr:col>0</xdr:col>
      <xdr:colOff>1747837</xdr:colOff>
      <xdr:row>2</xdr:row>
      <xdr:rowOff>85725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5AF6507E-3F50-4829-92A9-DCF635FDC262}"/>
            </a:ext>
          </a:extLst>
        </xdr:cNvPr>
        <xdr:cNvSpPr/>
      </xdr:nvSpPr>
      <xdr:spPr>
        <a:xfrm>
          <a:off x="185738" y="85725"/>
          <a:ext cx="1562099" cy="3810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2000" b="1">
              <a:gradFill>
                <a:gsLst>
                  <a:gs pos="31000">
                    <a:srgbClr val="EE37BF"/>
                  </a:gs>
                  <a:gs pos="83000">
                    <a:srgbClr val="6124E8"/>
                  </a:gs>
                  <a:gs pos="7000">
                    <a:schemeClr val="bg1"/>
                  </a:gs>
                </a:gsLst>
                <a:lin ang="0" scaled="0"/>
              </a:gradFill>
              <a:latin typeface="Arial Black" panose="020B0A04020102020204" pitchFamily="34" charset="0"/>
            </a:rPr>
            <a:t>LION APP</a:t>
          </a:r>
        </a:p>
      </xdr:txBody>
    </xdr:sp>
    <xdr:clientData/>
  </xdr:twoCellAnchor>
  <xdr:twoCellAnchor editAs="absolute">
    <xdr:from>
      <xdr:col>0</xdr:col>
      <xdr:colOff>138113</xdr:colOff>
      <xdr:row>8</xdr:row>
      <xdr:rowOff>0</xdr:rowOff>
    </xdr:from>
    <xdr:to>
      <xdr:col>0</xdr:col>
      <xdr:colOff>1824038</xdr:colOff>
      <xdr:row>9</xdr:row>
      <xdr:rowOff>133350</xdr:rowOff>
    </xdr:to>
    <xdr:sp macro="" textlink="">
      <xdr:nvSpPr>
        <xdr:cNvPr id="4" name="Retângulo: Cantos Arredondados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0A4445A-7439-4F97-AEE5-8860E220B3C9}"/>
            </a:ext>
          </a:extLst>
        </xdr:cNvPr>
        <xdr:cNvSpPr/>
      </xdr:nvSpPr>
      <xdr:spPr>
        <a:xfrm>
          <a:off x="138113" y="1704975"/>
          <a:ext cx="1685925" cy="3429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138113</xdr:colOff>
      <xdr:row>10</xdr:row>
      <xdr:rowOff>109538</xdr:rowOff>
    </xdr:from>
    <xdr:to>
      <xdr:col>0</xdr:col>
      <xdr:colOff>1824038</xdr:colOff>
      <xdr:row>12</xdr:row>
      <xdr:rowOff>33338</xdr:rowOff>
    </xdr:to>
    <xdr:sp macro="" textlink="">
      <xdr:nvSpPr>
        <xdr:cNvPr id="5" name="Retângulo: Cantos Arredondados 4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F4F03A5A-CE70-4023-A83F-424DD498826A}"/>
            </a:ext>
          </a:extLst>
        </xdr:cNvPr>
        <xdr:cNvSpPr/>
      </xdr:nvSpPr>
      <xdr:spPr>
        <a:xfrm>
          <a:off x="138113" y="2233613"/>
          <a:ext cx="1685925" cy="3429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138113</xdr:colOff>
      <xdr:row>13</xdr:row>
      <xdr:rowOff>9525</xdr:rowOff>
    </xdr:from>
    <xdr:to>
      <xdr:col>0</xdr:col>
      <xdr:colOff>1824038</xdr:colOff>
      <xdr:row>14</xdr:row>
      <xdr:rowOff>142875</xdr:rowOff>
    </xdr:to>
    <xdr:sp macro="" textlink="">
      <xdr:nvSpPr>
        <xdr:cNvPr id="6" name="Retângulo: Cantos Arredondados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BACEF7-A355-459C-82C5-FB94782CA361}"/>
            </a:ext>
          </a:extLst>
        </xdr:cNvPr>
        <xdr:cNvSpPr/>
      </xdr:nvSpPr>
      <xdr:spPr>
        <a:xfrm>
          <a:off x="138113" y="2762250"/>
          <a:ext cx="1685925" cy="342900"/>
        </a:xfrm>
        <a:prstGeom prst="roundRect">
          <a:avLst>
            <a:gd name="adj" fmla="val 50000"/>
          </a:avLst>
        </a:prstGeom>
        <a:gradFill flip="none" rotWithShape="1">
          <a:gsLst>
            <a:gs pos="31000">
              <a:srgbClr val="EE37BF">
                <a:lumMod val="80000"/>
                <a:lumOff val="20000"/>
                <a:alpha val="69000"/>
              </a:srgbClr>
            </a:gs>
            <a:gs pos="92000">
              <a:srgbClr val="6124E8"/>
            </a:gs>
          </a:gsLst>
          <a:lin ang="0" scaled="1"/>
          <a:tileRect/>
        </a:gra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 b="1">
              <a:latin typeface="Segoe UI Light" panose="020B0502040204020203" pitchFamily="34" charset="0"/>
              <a:cs typeface="Segoe UI Light" panose="020B0502040204020203" pitchFamily="34" charset="0"/>
            </a:rPr>
            <a:t>RECIBOS</a:t>
          </a:r>
        </a:p>
      </xdr:txBody>
    </xdr:sp>
    <xdr:clientData/>
  </xdr:twoCellAnchor>
  <xdr:twoCellAnchor editAs="absolute">
    <xdr:from>
      <xdr:col>0</xdr:col>
      <xdr:colOff>428624</xdr:colOff>
      <xdr:row>15</xdr:row>
      <xdr:rowOff>9525</xdr:rowOff>
    </xdr:from>
    <xdr:to>
      <xdr:col>0</xdr:col>
      <xdr:colOff>1657349</xdr:colOff>
      <xdr:row>17</xdr:row>
      <xdr:rowOff>200025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BC824982-A859-482E-A435-1A3A10FA0F69}"/>
            </a:ext>
          </a:extLst>
        </xdr:cNvPr>
        <xdr:cNvSpPr/>
      </xdr:nvSpPr>
      <xdr:spPr>
        <a:xfrm>
          <a:off x="428624" y="3181350"/>
          <a:ext cx="1228725" cy="6096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>
              <a:solidFill>
                <a:schemeClr val="bg1">
                  <a:lumMod val="65000"/>
                </a:schemeClr>
              </a:solidFill>
            </a:rPr>
            <a:t>SISTEM BY ATR </a:t>
          </a:r>
          <a:r>
            <a:rPr lang="pt-BR" sz="1100"/>
            <a:t>💜</a:t>
          </a:r>
        </a:p>
      </xdr:txBody>
    </xdr:sp>
    <xdr:clientData/>
  </xdr:twoCellAnchor>
  <xdr:twoCellAnchor editAs="absolute">
    <xdr:from>
      <xdr:col>0</xdr:col>
      <xdr:colOff>295275</xdr:colOff>
      <xdr:row>15</xdr:row>
      <xdr:rowOff>200025</xdr:rowOff>
    </xdr:from>
    <xdr:to>
      <xdr:col>0</xdr:col>
      <xdr:colOff>1724025</xdr:colOff>
      <xdr:row>15</xdr:row>
      <xdr:rowOff>200025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EEE744D6-AE8E-4A30-B77C-4C5B5F640092}"/>
            </a:ext>
          </a:extLst>
        </xdr:cNvPr>
        <xdr:cNvCxnSpPr/>
      </xdr:nvCxnSpPr>
      <xdr:spPr>
        <a:xfrm>
          <a:off x="295275" y="3371850"/>
          <a:ext cx="1428750" cy="0"/>
        </a:xfrm>
        <a:prstGeom prst="line">
          <a:avLst/>
        </a:prstGeom>
        <a:ln w="9525">
          <a:solidFill>
            <a:srgbClr val="EE37BF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600075</xdr:colOff>
      <xdr:row>17</xdr:row>
      <xdr:rowOff>38100</xdr:rowOff>
    </xdr:from>
    <xdr:to>
      <xdr:col>0</xdr:col>
      <xdr:colOff>1247775</xdr:colOff>
      <xdr:row>20</xdr:row>
      <xdr:rowOff>57150</xdr:rowOff>
    </xdr:to>
    <xdr:pic>
      <xdr:nvPicPr>
        <xdr:cNvPr id="13" name="Imagem 12" descr="Linkedin circled White Icons – Free Download SVG, PNG, GIF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F0C0F6D-B072-6A05-D698-BCC86CCD9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3629025"/>
          <a:ext cx="64770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2</xdr:col>
      <xdr:colOff>9525</xdr:colOff>
      <xdr:row>4</xdr:row>
      <xdr:rowOff>85725</xdr:rowOff>
    </xdr:from>
    <xdr:to>
      <xdr:col>3</xdr:col>
      <xdr:colOff>237750</xdr:colOff>
      <xdr:row>5</xdr:row>
      <xdr:rowOff>111225</xdr:rowOff>
    </xdr:to>
    <xdr:sp macro="" textlink="">
      <xdr:nvSpPr>
        <xdr:cNvPr id="14" name="Retângulo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606D727-295C-4E8F-BB03-41761597DBB5}"/>
            </a:ext>
          </a:extLst>
        </xdr:cNvPr>
        <xdr:cNvSpPr/>
      </xdr:nvSpPr>
      <xdr:spPr>
        <a:xfrm>
          <a:off x="2505075" y="1009650"/>
          <a:ext cx="1476000" cy="216000"/>
        </a:xfrm>
        <a:prstGeom prst="rect">
          <a:avLst/>
        </a:prstGeom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/>
            <a:t>&lt;-- ANTERIOR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226B70D-52AD-4AB2-AF2D-CE1EE20C009D}" name="Tabela2" displayName="Tabela2" ref="C8:E23" totalsRowCount="1" headerRowDxfId="15" dataDxfId="14">
  <autoFilter ref="C8:E22" xr:uid="{C226B70D-52AD-4AB2-AF2D-CE1EE20C009D}"/>
  <tableColumns count="3">
    <tableColumn id="1" xr3:uid="{063BB7DE-2D77-4ABD-8460-CA175E7C3B20}" name="DATA" totalsRowLabel="TOTAL" dataDxfId="11" totalsRowDxfId="5"/>
    <tableColumn id="2" xr3:uid="{8D6A9B5C-CFD2-49F3-A248-CA80353F3238}" name="CATEGORIA" dataDxfId="10" totalsRowDxfId="4"/>
    <tableColumn id="3" xr3:uid="{63816C7E-1689-4ADA-AA18-ABEA1FA4D76D}" name="VALOR" totalsRowFunction="sum" dataDxfId="9" totalsRowDxfId="3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3914B82-21C6-468F-B718-97126B22C12A}" name="Tabela24" displayName="Tabela24" ref="G8:I23" totalsRowCount="1" headerRowDxfId="13" dataDxfId="12">
  <autoFilter ref="G8:I22" xr:uid="{23914B82-21C6-468F-B718-97126B22C12A}"/>
  <tableColumns count="3">
    <tableColumn id="1" xr3:uid="{A4E64403-8277-4530-8304-AA81315F38AA}" name="DATA" totalsRowLabel="TOTAL" dataDxfId="8" totalsRowDxfId="2"/>
    <tableColumn id="2" xr3:uid="{50924B73-C634-4CB8-9B99-95367868CDA5}" name="CATEGORIA" dataDxfId="7" totalsRowDxfId="1"/>
    <tableColumn id="3" xr3:uid="{D2059D23-ED73-411B-BAAE-84E551640218}" name="VALOR" totalsRowFunction="sum" dataDxfId="6" totalsRow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/>
      <a:bodyPr vertOverflow="clip" horzOverflow="clip" rtlCol="0" anchor="t"/>
      <a:lstStyle>
        <a:defPPr algn="ctr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felipe@master.com?subject=Oi,%20vamos%20conversar%20sobre%20a%20sua%20declara&#231;&#227;o%20de%20I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7B33D-49E3-44B7-A587-814C7971A3A6}">
  <dimension ref="A3:E19"/>
  <sheetViews>
    <sheetView showGridLines="0" showRowColHeaders="0" tabSelected="1" workbookViewId="0">
      <selection activeCell="D12" sqref="D12"/>
    </sheetView>
  </sheetViews>
  <sheetFormatPr defaultRowHeight="15"/>
  <cols>
    <col min="1" max="1" width="28.28515625" style="1" customWidth="1"/>
    <col min="3" max="4" width="43.7109375" customWidth="1"/>
  </cols>
  <sheetData>
    <row r="3" spans="3:5" ht="20.25" customHeight="1" thickBot="1">
      <c r="C3" s="3" t="s">
        <v>14</v>
      </c>
      <c r="D3" s="4"/>
      <c r="E3" s="4"/>
    </row>
    <row r="4" spans="3:5" ht="22.5" customHeight="1" thickTop="1">
      <c r="C4" s="5" t="s">
        <v>15</v>
      </c>
      <c r="D4" s="5"/>
      <c r="E4" s="5"/>
    </row>
    <row r="6" spans="3:5" ht="16.5">
      <c r="C6" s="2" t="s">
        <v>0</v>
      </c>
      <c r="D6" s="15" t="s">
        <v>16</v>
      </c>
    </row>
    <row r="7" spans="3:5" ht="16.5">
      <c r="C7" s="2" t="s">
        <v>1</v>
      </c>
      <c r="D7" s="16">
        <v>14523674822</v>
      </c>
    </row>
    <row r="8" spans="3:5" ht="16.5">
      <c r="C8" s="2" t="s">
        <v>2</v>
      </c>
      <c r="D8" s="17">
        <v>40663</v>
      </c>
    </row>
    <row r="9" spans="3:5" ht="16.5">
      <c r="C9" s="2" t="s">
        <v>13</v>
      </c>
      <c r="D9" s="15">
        <v>12345678</v>
      </c>
    </row>
    <row r="10" spans="3:5" ht="16.5">
      <c r="C10" s="2" t="s">
        <v>3</v>
      </c>
      <c r="D10" s="15" t="s">
        <v>17</v>
      </c>
    </row>
    <row r="11" spans="3:5" ht="16.5">
      <c r="C11" s="2" t="s">
        <v>4</v>
      </c>
      <c r="D11" s="15" t="s">
        <v>79</v>
      </c>
    </row>
    <row r="12" spans="3:5" ht="16.5">
      <c r="C12" s="2" t="s">
        <v>5</v>
      </c>
      <c r="D12" s="15" t="s">
        <v>80</v>
      </c>
    </row>
    <row r="13" spans="3:5" ht="16.5">
      <c r="C13" s="2" t="s">
        <v>6</v>
      </c>
      <c r="D13" s="18">
        <v>12457638</v>
      </c>
    </row>
    <row r="14" spans="3:5" ht="16.5">
      <c r="C14" s="2" t="s">
        <v>7</v>
      </c>
      <c r="D14" s="19">
        <v>1131713388</v>
      </c>
    </row>
    <row r="15" spans="3:5" ht="16.5">
      <c r="C15" s="2" t="s">
        <v>8</v>
      </c>
      <c r="D15" s="20">
        <v>11931713388</v>
      </c>
    </row>
    <row r="16" spans="3:5" ht="16.5">
      <c r="C16" s="2" t="s">
        <v>9</v>
      </c>
      <c r="D16" s="21" t="s">
        <v>18</v>
      </c>
    </row>
    <row r="17" spans="3:4" ht="16.5">
      <c r="C17" s="2" t="s">
        <v>10</v>
      </c>
      <c r="D17" s="15" t="s">
        <v>19</v>
      </c>
    </row>
    <row r="18" spans="3:4" ht="16.5">
      <c r="C18" s="2" t="s">
        <v>11</v>
      </c>
      <c r="D18" s="15" t="s">
        <v>20</v>
      </c>
    </row>
    <row r="19" spans="3:4" ht="16.5">
      <c r="C19" s="2" t="s">
        <v>12</v>
      </c>
      <c r="D19" s="15" t="s">
        <v>20</v>
      </c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 xr:uid="{7AE7F633-DFA6-4665-A903-B37BC39B3F04}">
      <formula1>"SIM,NÃO"</formula1>
    </dataValidation>
  </dataValidations>
  <hyperlinks>
    <hyperlink ref="D16" r:id="rId1" xr:uid="{59906147-8192-4917-BEEE-D8B2E5FB9755}"/>
  </hyperlinks>
  <pageMargins left="0.511811024" right="0.511811024" top="0.78740157499999996" bottom="0.78740157499999996" header="0.31496062000000002" footer="0.31496062000000002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02470-6D53-413E-9148-683D6D2FCF36}">
  <dimension ref="A3:E22"/>
  <sheetViews>
    <sheetView showGridLines="0" showRowColHeaders="0" workbookViewId="0">
      <selection activeCell="D16" sqref="D16"/>
    </sheetView>
  </sheetViews>
  <sheetFormatPr defaultRowHeight="15"/>
  <cols>
    <col min="1" max="1" width="28.28515625" style="1" customWidth="1"/>
    <col min="3" max="4" width="43.7109375" customWidth="1"/>
  </cols>
  <sheetData>
    <row r="3" spans="3:5" ht="20.25" customHeight="1" thickBot="1">
      <c r="C3" s="3" t="s">
        <v>21</v>
      </c>
      <c r="D3" s="4"/>
      <c r="E3" s="4"/>
    </row>
    <row r="4" spans="3:5" ht="22.5" customHeight="1" thickTop="1">
      <c r="C4" s="5" t="s">
        <v>22</v>
      </c>
      <c r="D4" s="5"/>
      <c r="E4" s="5"/>
    </row>
    <row r="6" spans="3:5" ht="16.5">
      <c r="C6" s="9" t="s">
        <v>85</v>
      </c>
    </row>
    <row r="7" spans="3:5" ht="21" customHeight="1">
      <c r="C7" s="10">
        <f>SUM(D11,D16,D21)</f>
        <v>2055455</v>
      </c>
      <c r="D7" s="11"/>
    </row>
    <row r="9" spans="3:5">
      <c r="C9" s="8" t="s">
        <v>78</v>
      </c>
    </row>
    <row r="10" spans="3:5" ht="16.5">
      <c r="C10" s="2" t="s">
        <v>23</v>
      </c>
      <c r="D10" s="15" t="s">
        <v>29</v>
      </c>
    </row>
    <row r="11" spans="3:5" ht="16.5">
      <c r="C11" s="2" t="s">
        <v>24</v>
      </c>
      <c r="D11" s="22">
        <v>500000</v>
      </c>
    </row>
    <row r="12" spans="3:5" ht="16.5">
      <c r="C12" s="2" t="s">
        <v>25</v>
      </c>
      <c r="D12" s="15" t="s">
        <v>26</v>
      </c>
    </row>
    <row r="14" spans="3:5">
      <c r="C14" s="8" t="s">
        <v>81</v>
      </c>
    </row>
    <row r="15" spans="3:5" ht="16.5">
      <c r="C15" s="2" t="s">
        <v>23</v>
      </c>
      <c r="D15" s="15" t="s">
        <v>36</v>
      </c>
    </row>
    <row r="16" spans="3:5" ht="16.5">
      <c r="C16" s="2" t="s">
        <v>24</v>
      </c>
      <c r="D16" s="22">
        <v>20000</v>
      </c>
    </row>
    <row r="17" spans="3:4" ht="16.5">
      <c r="C17" s="2" t="s">
        <v>25</v>
      </c>
      <c r="D17" s="15" t="s">
        <v>84</v>
      </c>
    </row>
    <row r="19" spans="3:4">
      <c r="C19" s="8" t="s">
        <v>82</v>
      </c>
    </row>
    <row r="20" spans="3:4" ht="16.5">
      <c r="C20" s="2" t="s">
        <v>23</v>
      </c>
      <c r="D20" s="15" t="s">
        <v>39</v>
      </c>
    </row>
    <row r="21" spans="3:4" ht="16.5">
      <c r="C21" s="2" t="s">
        <v>24</v>
      </c>
      <c r="D21" s="22">
        <v>1535455</v>
      </c>
    </row>
    <row r="22" spans="3:4" ht="16.5">
      <c r="C22" s="2" t="s">
        <v>25</v>
      </c>
      <c r="D22" s="15" t="s">
        <v>83</v>
      </c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." promptTitle="Informe um banco vinculado" prompt="Informe um banco vinculado ao seu CPF" xr:uid="{B158BF90-049F-4B29-B1FE-9A51763E43AA}">
          <x14:formula1>
            <xm:f>TABELAS!$A$2:$A$51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087E-232F-4915-9893-E0B70152995B}">
  <dimension ref="A3:I36"/>
  <sheetViews>
    <sheetView showGridLines="0" showRowColHeaders="0" workbookViewId="0">
      <selection activeCell="C23" sqref="C23"/>
    </sheetView>
  </sheetViews>
  <sheetFormatPr defaultRowHeight="15"/>
  <cols>
    <col min="1" max="1" width="28.28515625" style="1" customWidth="1"/>
    <col min="3" max="5" width="18.7109375" customWidth="1"/>
    <col min="7" max="9" width="18.7109375" customWidth="1"/>
  </cols>
  <sheetData>
    <row r="3" spans="3:9" ht="20.25" thickBot="1">
      <c r="C3" s="3" t="s">
        <v>94</v>
      </c>
      <c r="D3" s="4"/>
      <c r="E3" s="4"/>
    </row>
    <row r="4" spans="3:9" ht="22.5" customHeight="1" thickTop="1">
      <c r="C4" s="29" t="s">
        <v>93</v>
      </c>
      <c r="D4" s="29"/>
      <c r="E4" s="29"/>
      <c r="F4" s="29"/>
    </row>
    <row r="7" spans="3:9" ht="16.5">
      <c r="C7" s="12" t="s">
        <v>90</v>
      </c>
      <c r="D7" s="13"/>
      <c r="E7" s="13"/>
      <c r="G7" s="27" t="s">
        <v>91</v>
      </c>
      <c r="H7" s="28"/>
      <c r="I7" s="28"/>
    </row>
    <row r="8" spans="3:9">
      <c r="C8" s="14" t="s">
        <v>86</v>
      </c>
      <c r="D8" s="14" t="s">
        <v>87</v>
      </c>
      <c r="E8" s="14" t="s">
        <v>88</v>
      </c>
      <c r="G8" s="14" t="s">
        <v>86</v>
      </c>
      <c r="H8" s="14" t="s">
        <v>87</v>
      </c>
      <c r="I8" s="14" t="s">
        <v>88</v>
      </c>
    </row>
    <row r="9" spans="3:9" ht="16.5">
      <c r="C9" s="23">
        <v>46029</v>
      </c>
      <c r="D9" s="24" t="s">
        <v>89</v>
      </c>
      <c r="E9" s="25">
        <v>3200</v>
      </c>
      <c r="G9" s="23">
        <v>46029</v>
      </c>
      <c r="H9" s="24" t="s">
        <v>92</v>
      </c>
      <c r="I9" s="25">
        <v>1000</v>
      </c>
    </row>
    <row r="10" spans="3:9" ht="16.5">
      <c r="C10" s="24"/>
      <c r="D10" s="24"/>
      <c r="E10" s="25"/>
      <c r="G10" s="24"/>
      <c r="H10" s="24"/>
      <c r="I10" s="25"/>
    </row>
    <row r="11" spans="3:9" ht="16.5">
      <c r="C11" s="24"/>
      <c r="D11" s="24"/>
      <c r="E11" s="25"/>
      <c r="G11" s="24"/>
      <c r="H11" s="24"/>
      <c r="I11" s="25"/>
    </row>
    <row r="12" spans="3:9" ht="16.5">
      <c r="C12" s="24"/>
      <c r="D12" s="24"/>
      <c r="E12" s="25"/>
      <c r="G12" s="24"/>
      <c r="H12" s="24"/>
      <c r="I12" s="25"/>
    </row>
    <row r="13" spans="3:9" ht="16.5">
      <c r="C13" s="24"/>
      <c r="D13" s="24"/>
      <c r="E13" s="25"/>
      <c r="G13" s="24"/>
      <c r="H13" s="24"/>
      <c r="I13" s="25"/>
    </row>
    <row r="14" spans="3:9" ht="16.5">
      <c r="C14" s="24"/>
      <c r="D14" s="24"/>
      <c r="E14" s="26"/>
      <c r="G14" s="24"/>
      <c r="H14" s="24"/>
      <c r="I14" s="26"/>
    </row>
    <row r="15" spans="3:9" ht="16.5">
      <c r="C15" s="24"/>
      <c r="D15" s="24"/>
      <c r="E15" s="25"/>
      <c r="G15" s="24"/>
      <c r="H15" s="24"/>
      <c r="I15" s="25"/>
    </row>
    <row r="16" spans="3:9" ht="16.5">
      <c r="C16" s="24"/>
      <c r="D16" s="24"/>
      <c r="E16" s="25"/>
      <c r="G16" s="24"/>
      <c r="H16" s="24"/>
      <c r="I16" s="25"/>
    </row>
    <row r="17" spans="3:9" ht="16.5">
      <c r="C17" s="24"/>
      <c r="D17" s="24"/>
      <c r="E17" s="25"/>
      <c r="G17" s="24"/>
      <c r="H17" s="24"/>
      <c r="I17" s="25"/>
    </row>
    <row r="18" spans="3:9" ht="16.5">
      <c r="C18" s="24"/>
      <c r="D18" s="24"/>
      <c r="E18" s="25"/>
      <c r="G18" s="24"/>
      <c r="H18" s="24"/>
      <c r="I18" s="25"/>
    </row>
    <row r="19" spans="3:9" ht="16.5">
      <c r="C19" s="24"/>
      <c r="D19" s="24"/>
      <c r="E19" s="25"/>
      <c r="G19" s="24"/>
      <c r="H19" s="24"/>
      <c r="I19" s="25"/>
    </row>
    <row r="20" spans="3:9" ht="16.5">
      <c r="C20" s="24"/>
      <c r="D20" s="24"/>
      <c r="E20" s="25"/>
      <c r="G20" s="24"/>
      <c r="H20" s="24"/>
      <c r="I20" s="25"/>
    </row>
    <row r="21" spans="3:9" ht="16.5">
      <c r="C21" s="24"/>
      <c r="D21" s="24"/>
      <c r="E21" s="25"/>
      <c r="G21" s="24"/>
      <c r="H21" s="24"/>
      <c r="I21" s="25"/>
    </row>
    <row r="22" spans="3:9" ht="16.5">
      <c r="C22" s="24"/>
      <c r="D22" s="24"/>
      <c r="E22" s="25"/>
      <c r="G22" s="24"/>
      <c r="H22" s="24"/>
      <c r="I22" s="25"/>
    </row>
    <row r="23" spans="3:9" ht="16.5">
      <c r="C23" s="24" t="s">
        <v>85</v>
      </c>
      <c r="D23" s="24"/>
      <c r="E23" s="25">
        <f>SUBTOTAL(109,Tabela2[VALOR])</f>
        <v>3200</v>
      </c>
      <c r="G23" s="24" t="s">
        <v>85</v>
      </c>
      <c r="H23" s="24"/>
      <c r="I23" s="25">
        <f>SUBTOTAL(109,Tabela24[VALOR])</f>
        <v>1000</v>
      </c>
    </row>
    <row r="24" spans="3:9" ht="16.5">
      <c r="C24" s="24"/>
      <c r="D24" s="24"/>
      <c r="E24" s="25"/>
      <c r="G24" s="24"/>
      <c r="H24" s="24"/>
      <c r="I24" s="25"/>
    </row>
    <row r="25" spans="3:9" ht="16.5">
      <c r="C25" s="24"/>
      <c r="D25" s="24"/>
      <c r="E25" s="25"/>
      <c r="G25" s="24"/>
      <c r="H25" s="24"/>
      <c r="I25" s="25"/>
    </row>
    <row r="26" spans="3:9" ht="16.5">
      <c r="C26" s="24"/>
      <c r="D26" s="24"/>
      <c r="E26" s="25"/>
      <c r="G26" s="24"/>
      <c r="H26" s="24"/>
      <c r="I26" s="25"/>
    </row>
    <row r="27" spans="3:9" ht="16.5">
      <c r="C27" s="24"/>
      <c r="D27" s="24"/>
      <c r="E27" s="25"/>
      <c r="G27" s="24"/>
      <c r="H27" s="24"/>
      <c r="I27" s="25"/>
    </row>
    <row r="28" spans="3:9" ht="16.5">
      <c r="C28" s="24"/>
      <c r="D28" s="24"/>
      <c r="E28" s="25"/>
      <c r="G28" s="24"/>
      <c r="H28" s="24"/>
      <c r="I28" s="25"/>
    </row>
    <row r="29" spans="3:9" ht="16.5">
      <c r="C29" s="24"/>
      <c r="D29" s="24"/>
      <c r="E29" s="25"/>
      <c r="G29" s="24"/>
      <c r="H29" s="24"/>
      <c r="I29" s="25"/>
    </row>
    <row r="30" spans="3:9" ht="16.5">
      <c r="C30" s="24"/>
      <c r="D30" s="24"/>
      <c r="E30" s="25"/>
      <c r="G30" s="24"/>
      <c r="H30" s="24"/>
      <c r="I30" s="25"/>
    </row>
    <row r="31" spans="3:9" ht="16.5">
      <c r="C31" s="24"/>
      <c r="D31" s="24"/>
      <c r="E31" s="25"/>
      <c r="G31" s="24"/>
      <c r="H31" s="24"/>
      <c r="I31" s="25"/>
    </row>
    <row r="32" spans="3:9" ht="16.5">
      <c r="C32" s="24"/>
      <c r="D32" s="24"/>
      <c r="E32" s="25"/>
      <c r="G32" s="24"/>
      <c r="H32" s="24"/>
      <c r="I32" s="25"/>
    </row>
    <row r="33" spans="3:9" ht="16.5">
      <c r="C33" s="24"/>
      <c r="D33" s="24"/>
      <c r="E33" s="25"/>
      <c r="G33" s="24"/>
      <c r="H33" s="24"/>
      <c r="I33" s="25"/>
    </row>
    <row r="34" spans="3:9" ht="16.5">
      <c r="C34" s="24"/>
      <c r="D34" s="24"/>
      <c r="E34" s="25"/>
      <c r="G34" s="24"/>
      <c r="H34" s="24"/>
      <c r="I34" s="25"/>
    </row>
    <row r="35" spans="3:9" ht="16.5">
      <c r="G35" s="24"/>
      <c r="H35" s="24"/>
      <c r="I35" s="25"/>
    </row>
    <row r="36" spans="3:9" ht="16.5">
      <c r="G36" s="24"/>
      <c r="H36" s="24"/>
      <c r="I36" s="25"/>
    </row>
  </sheetData>
  <sheetProtection sheet="1" objects="1" scenarios="1" selectLockedCells="1"/>
  <mergeCells count="3">
    <mergeCell ref="C7:E7"/>
    <mergeCell ref="G7:I7"/>
    <mergeCell ref="C4:F4"/>
  </mergeCells>
  <dataValidations count="2">
    <dataValidation type="list" allowBlank="1" showInputMessage="1" showErrorMessage="1" sqref="H24:H36 D9:D23" xr:uid="{0D1B3F0A-63C9-40BC-B8FF-429ED70597B7}">
      <formula1>"CLT,CNPJ,FREELANCE"</formula1>
    </dataValidation>
    <dataValidation type="list" allowBlank="1" showInputMessage="1" showErrorMessage="1" sqref="H9:H22" xr:uid="{4196D13F-79E1-4654-BC20-EA0AFA4C7F94}">
      <formula1>"SAÚDE,INSTRUÇÃO,PREVIDÊNCIA PRIVADA,ODONTOLÓGICO"</formula1>
    </dataValidation>
  </dataValidations>
  <pageMargins left="0.511811024" right="0.511811024" top="0.78740157499999996" bottom="0.78740157499999996" header="0.31496062000000002" footer="0.31496062000000002"/>
  <drawing r:id="rId1"/>
  <tableParts count="2"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49F5C8-800E-47F1-A153-38B1CF6C0F84}">
  <dimension ref="A1:A51"/>
  <sheetViews>
    <sheetView topLeftCell="A29" workbookViewId="0">
      <selection activeCell="B13" sqref="B13"/>
    </sheetView>
  </sheetViews>
  <sheetFormatPr defaultRowHeight="15"/>
  <cols>
    <col min="1" max="1" width="39" bestFit="1" customWidth="1"/>
  </cols>
  <sheetData>
    <row r="1" spans="1:1">
      <c r="A1" s="7" t="s">
        <v>27</v>
      </c>
    </row>
    <row r="2" spans="1:1">
      <c r="A2" s="6" t="s">
        <v>28</v>
      </c>
    </row>
    <row r="3" spans="1:1">
      <c r="A3" s="6" t="s">
        <v>29</v>
      </c>
    </row>
    <row r="4" spans="1:1">
      <c r="A4" s="6" t="s">
        <v>30</v>
      </c>
    </row>
    <row r="5" spans="1:1">
      <c r="A5" s="6" t="s">
        <v>31</v>
      </c>
    </row>
    <row r="6" spans="1:1">
      <c r="A6" s="6" t="s">
        <v>32</v>
      </c>
    </row>
    <row r="7" spans="1:1">
      <c r="A7" s="6" t="s">
        <v>33</v>
      </c>
    </row>
    <row r="8" spans="1:1">
      <c r="A8" s="6" t="s">
        <v>34</v>
      </c>
    </row>
    <row r="9" spans="1:1">
      <c r="A9" s="6" t="s">
        <v>35</v>
      </c>
    </row>
    <row r="10" spans="1:1">
      <c r="A10" s="6" t="s">
        <v>36</v>
      </c>
    </row>
    <row r="11" spans="1:1">
      <c r="A11" s="6" t="s">
        <v>37</v>
      </c>
    </row>
    <row r="12" spans="1:1">
      <c r="A12" s="6" t="s">
        <v>38</v>
      </c>
    </row>
    <row r="13" spans="1:1">
      <c r="A13" s="6" t="s">
        <v>39</v>
      </c>
    </row>
    <row r="14" spans="1:1">
      <c r="A14" s="6" t="s">
        <v>40</v>
      </c>
    </row>
    <row r="15" spans="1:1">
      <c r="A15" s="6" t="s">
        <v>41</v>
      </c>
    </row>
    <row r="16" spans="1:1">
      <c r="A16" s="6" t="s">
        <v>42</v>
      </c>
    </row>
    <row r="17" spans="1:1">
      <c r="A17" s="6" t="s">
        <v>43</v>
      </c>
    </row>
    <row r="18" spans="1:1">
      <c r="A18" s="6" t="s">
        <v>44</v>
      </c>
    </row>
    <row r="19" spans="1:1">
      <c r="A19" s="6" t="s">
        <v>45</v>
      </c>
    </row>
    <row r="20" spans="1:1">
      <c r="A20" s="6" t="s">
        <v>46</v>
      </c>
    </row>
    <row r="21" spans="1:1">
      <c r="A21" s="6" t="s">
        <v>47</v>
      </c>
    </row>
    <row r="22" spans="1:1">
      <c r="A22" s="6" t="s">
        <v>48</v>
      </c>
    </row>
    <row r="23" spans="1:1">
      <c r="A23" s="6" t="s">
        <v>49</v>
      </c>
    </row>
    <row r="24" spans="1:1">
      <c r="A24" s="6" t="s">
        <v>50</v>
      </c>
    </row>
    <row r="25" spans="1:1">
      <c r="A25" s="6" t="s">
        <v>51</v>
      </c>
    </row>
    <row r="26" spans="1:1">
      <c r="A26" s="6" t="s">
        <v>52</v>
      </c>
    </row>
    <row r="27" spans="1:1">
      <c r="A27" s="6" t="s">
        <v>53</v>
      </c>
    </row>
    <row r="28" spans="1:1">
      <c r="A28" s="6" t="s">
        <v>54</v>
      </c>
    </row>
    <row r="29" spans="1:1">
      <c r="A29" s="6" t="s">
        <v>55</v>
      </c>
    </row>
    <row r="30" spans="1:1">
      <c r="A30" s="6" t="s">
        <v>56</v>
      </c>
    </row>
    <row r="31" spans="1:1">
      <c r="A31" s="6" t="s">
        <v>57</v>
      </c>
    </row>
    <row r="32" spans="1:1">
      <c r="A32" s="6" t="s">
        <v>58</v>
      </c>
    </row>
    <row r="33" spans="1:1">
      <c r="A33" s="6" t="s">
        <v>59</v>
      </c>
    </row>
    <row r="34" spans="1:1">
      <c r="A34" s="6" t="s">
        <v>60</v>
      </c>
    </row>
    <row r="35" spans="1:1">
      <c r="A35" s="6" t="s">
        <v>61</v>
      </c>
    </row>
    <row r="36" spans="1:1">
      <c r="A36" s="6" t="s">
        <v>62</v>
      </c>
    </row>
    <row r="37" spans="1:1">
      <c r="A37" s="6" t="s">
        <v>63</v>
      </c>
    </row>
    <row r="38" spans="1:1">
      <c r="A38" s="6" t="s">
        <v>64</v>
      </c>
    </row>
    <row r="39" spans="1:1">
      <c r="A39" s="6" t="s">
        <v>65</v>
      </c>
    </row>
    <row r="40" spans="1:1">
      <c r="A40" s="6" t="s">
        <v>66</v>
      </c>
    </row>
    <row r="41" spans="1:1">
      <c r="A41" s="6" t="s">
        <v>67</v>
      </c>
    </row>
    <row r="42" spans="1:1">
      <c r="A42" s="6" t="s">
        <v>68</v>
      </c>
    </row>
    <row r="43" spans="1:1">
      <c r="A43" s="6" t="s">
        <v>69</v>
      </c>
    </row>
    <row r="44" spans="1:1">
      <c r="A44" s="6" t="s">
        <v>70</v>
      </c>
    </row>
    <row r="45" spans="1:1">
      <c r="A45" s="6" t="s">
        <v>71</v>
      </c>
    </row>
    <row r="46" spans="1:1">
      <c r="A46" s="6" t="s">
        <v>72</v>
      </c>
    </row>
    <row r="47" spans="1:1">
      <c r="A47" s="6" t="s">
        <v>73</v>
      </c>
    </row>
    <row r="48" spans="1:1">
      <c r="A48" s="6" t="s">
        <v>74</v>
      </c>
    </row>
    <row r="49" spans="1:1">
      <c r="A49" s="6" t="s">
        <v>75</v>
      </c>
    </row>
    <row r="50" spans="1:1">
      <c r="A50" s="6" t="s">
        <v>76</v>
      </c>
    </row>
    <row r="51" spans="1:1">
      <c r="A51" s="6" t="s">
        <v>77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Tadeu Rabelo</dc:creator>
  <cp:lastModifiedBy>Anderson Tadeu Rabelo</cp:lastModifiedBy>
  <dcterms:created xsi:type="dcterms:W3CDTF">2026-01-06T18:26:04Z</dcterms:created>
  <dcterms:modified xsi:type="dcterms:W3CDTF">2026-01-07T19:12:10Z</dcterms:modified>
</cp:coreProperties>
</file>