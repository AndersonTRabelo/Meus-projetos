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a56057419_fgv_edu_br/Documents/dio/"/>
    </mc:Choice>
  </mc:AlternateContent>
  <xr:revisionPtr revIDLastSave="499" documentId="13_ncr:1_{3C2F8ED6-40B2-4E08-832A-7140AC03FA60}" xr6:coauthVersionLast="47" xr6:coauthVersionMax="47" xr10:uidLastSave="{40EBB6A1-DCF3-47E6-969E-9AC65213BFD9}"/>
  <bookViews>
    <workbookView xWindow="-120" yWindow="-12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E37" i="3"/>
  <c r="E25" i="3"/>
</calcChain>
</file>

<file path=xl/sharedStrings.xml><?xml version="1.0" encoding="utf-8"?>
<sst xmlns="http://schemas.openxmlformats.org/spreadsheetml/2006/main" count="2031" uniqueCount="326">
  <si>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</si>
  <si>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</si>
  <si>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</si>
  <si>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</si>
  <si>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</si>
  <si>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</si>
  <si>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</si>
  <si>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</si>
  <si>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</si>
  <si>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</si>
  <si>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</si>
  <si>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</si>
  <si>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</si>
  <si>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</si>
  <si>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</si>
  <si>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</si>
  <si>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</si>
  <si>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</si>
  <si>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</si>
  <si>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</si>
  <si>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</si>
  <si>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</si>
  <si>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</si>
  <si>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</si>
  <si>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</si>
  <si>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</si>
  <si>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</si>
  <si>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</si>
  <si>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</si>
  <si>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</si>
  <si>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</si>
  <si>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</si>
  <si>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</si>
  <si>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</si>
  <si>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</si>
  <si>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</si>
  <si>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</si>
  <si>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</si>
  <si>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</si>
  <si>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</si>
  <si>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</si>
  <si>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</si>
  <si>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</si>
  <si>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</si>
  <si>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</si>
  <si>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</si>
  <si>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</si>
  <si>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</si>
  <si>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</si>
  <si>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</si>
  <si>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</si>
  <si>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</si>
  <si>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</si>
  <si>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</si>
  <si>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</si>
  <si>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</si>
  <si>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</si>
  <si>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</si>
  <si>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</si>
  <si>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</si>
  <si>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</si>
  <si>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</si>
  <si>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</si>
  <si>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</si>
  <si>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</si>
  <si>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</si>
  <si>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</si>
  <si>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</si>
  <si>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</si>
  <si>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</si>
  <si>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</si>
  <si>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</si>
  <si>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</si>
  <si>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</si>
  <si>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</si>
  <si>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</si>
  <si>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</si>
  <si>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</si>
  <si>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</si>
  <si>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</si>
  <si>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</si>
  <si>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</si>
  <si>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</si>
  <si>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</si>
  <si>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</si>
  <si>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</si>
  <si>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</si>
  <si>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</si>
  <si>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</si>
  <si>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</si>
  <si>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</si>
  <si>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</si>
  <si>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</si>
  <si>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</si>
  <si>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</si>
  <si>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</si>
  <si>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</si>
  <si>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</si>
  <si>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</si>
  <si>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</si>
  <si>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</si>
  <si>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</si>
  <si>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</si>
  <si>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</si>
  <si>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</si>
  <si>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</si>
  <si>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</si>
  <si>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</si>
  <si>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</si>
  <si>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</si>
  <si>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</si>
  <si>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</si>
  <si>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</si>
  <si>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</si>
  <si>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</si>
  <si>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</si>
  <si>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</si>
  <si>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</si>
  <si>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</si>
  <si>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</si>
  <si>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</si>
  <si>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</si>
  <si>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</si>
  <si>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</si>
  <si>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</si>
  <si>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</si>
  <si>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</si>
  <si>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</si>
  <si>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</si>
  <si>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</si>
  <si>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</si>
  <si>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</si>
  <si>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</si>
  <si>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</si>
  <si>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</si>
  <si>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</si>
  <si>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</si>
  <si>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</si>
  <si>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</si>
  <si>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</si>
  <si>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</si>
  <si>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</si>
  <si>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</si>
  <si>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</si>
  <si>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</si>
  <si>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</si>
  <si>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</si>
  <si>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</si>
  <si>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</si>
  <si>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</si>
  <si>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</si>
  <si>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</si>
  <si>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</si>
  <si>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</si>
  <si>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</si>
  <si>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</si>
  <si>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</si>
  <si>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</si>
  <si>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</si>
  <si>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</si>
  <si>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</si>
  <si>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</si>
  <si>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</si>
  <si>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</si>
  <si>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</si>
  <si>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</si>
  <si>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</si>
  <si>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</si>
  <si>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</si>
  <si>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</si>
  <si>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</si>
  <si>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</si>
  <si>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</si>
  <si>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</si>
  <si>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</si>
  <si>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</si>
  <si>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</si>
  <si>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</si>
  <si>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</si>
  <si>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</si>
  <si>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</si>
  <si>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</si>
  <si>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</si>
  <si>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</si>
  <si>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</si>
  <si>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</si>
  <si>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</si>
  <si>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</si>
  <si>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</si>
  <si>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</si>
  <si>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</si>
  <si>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</si>
  <si>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</si>
  <si>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</si>
  <si>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</si>
  <si>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</si>
  <si>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</si>
  <si>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</si>
  <si>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</si>
  <si>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</si>
  <si>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</si>
  <si>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</si>
  <si>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</si>
  <si>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</si>
  <si>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</si>
  <si>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</si>
  <si>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</si>
  <si>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</si>
  <si>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</si>
  <si>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</si>
  <si>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</si>
  <si>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</si>
  <si>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</si>
  <si>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</si>
  <si>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</si>
  <si>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</si>
  <si>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</si>
  <si>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</si>
  <si>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</si>
  <si>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</si>
  <si>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</si>
  <si>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</si>
  <si>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</si>
  <si>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</si>
  <si>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</si>
  <si>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</si>
  <si>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</si>
  <si>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</si>
  <si>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</si>
  <si>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</si>
  <si>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</si>
  <si>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</si>
  <si>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</si>
  <si>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</si>
  <si>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</si>
  <si>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</si>
  <si>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</si>
  <si>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</si>
  <si>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</si>
  <si>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</si>
  <si>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</si>
  <si>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</si>
  <si>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</si>
  <si>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</si>
  <si>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</si>
  <si>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</si>
  <si>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</si>
  <si>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</si>
  <si>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</si>
  <si>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</si>
  <si>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</si>
  <si>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</si>
  <si>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</si>
  <si>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</si>
  <si>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</si>
  <si>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</si>
  <si>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</si>
  <si>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</si>
  <si>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</si>
  <si>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</si>
  <si>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</si>
  <si>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</si>
  <si>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</si>
  <si>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</si>
  <si>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</si>
  <si>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</si>
  <si>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</si>
  <si>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</si>
  <si>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</si>
  <si>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</si>
  <si>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</si>
  <si>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</si>
  <si>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</si>
  <si>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</si>
  <si>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</si>
  <si>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</si>
  <si>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</si>
  <si>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</si>
  <si>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</si>
  <si>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</si>
  <si>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</si>
  <si>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</si>
  <si>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</si>
  <si>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</si>
  <si>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</si>
  <si>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</si>
  <si>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</si>
  <si>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</si>
  <si>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</si>
  <si>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</si>
  <si>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</si>
  <si>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</si>
  <si>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</si>
  <si>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</si>
  <si>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</si>
  <si>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</si>
  <si>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</si>
  <si>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</si>
  <si>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</si>
  <si>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</si>
  <si>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</si>
  <si>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</si>
  <si>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</si>
  <si>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</si>
  <si>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</si>
  <si>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</si>
  <si>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</si>
  <si>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</si>
  <si>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</si>
  <si>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</si>
  <si>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</si>
  <si>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</si>
  <si>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</si>
  <si>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E uma pergunta de negócio respondida através de alguma analise de dados especifica.</t>
  </si>
  <si>
    <t>Rótulos de Linha</t>
  </si>
  <si>
    <t>Total Geral</t>
  </si>
  <si>
    <t>Soma de Total Value</t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</si>
  <si>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 separado por auto renovação e por não auto renovação.</t>
    </r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</si>
  <si>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assinaturas agregadas).</t>
    </r>
  </si>
  <si>
    <t>XBOX GAME PASS SUBSCRIPTIONS SALES</t>
  </si>
  <si>
    <r>
      <t xml:space="preserve">Pergunta de negócio 3: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 Play.</t>
    </r>
  </si>
  <si>
    <t>Soma de EA Play Season Pass</t>
  </si>
  <si>
    <r>
      <t xml:space="preserve">Pergunta de negócio 4 :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Minecraft Season Pass.</t>
    </r>
  </si>
  <si>
    <t>Soma de Minecraft Season Pass Price</t>
  </si>
  <si>
    <r>
      <t xml:space="preserve">Pergunta de negócio 5 : </t>
    </r>
    <r>
      <rPr>
        <b/>
        <sz val="11"/>
        <color theme="1"/>
        <rFont val="Aptos Narrow"/>
        <family val="2"/>
        <scheme val="minor"/>
      </rPr>
      <t>Total de Coupon Value concedido</t>
    </r>
    <r>
      <rPr>
        <sz val="11"/>
        <color theme="1"/>
        <rFont val="Aptos Narrow"/>
        <family val="2"/>
        <scheme val="minor"/>
      </rPr>
      <t>.</t>
    </r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</si>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</sst>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0" fontId="0" fillId="0" borderId="0" xfId="0" applyNumberFormat="1"/>
    <xf numFmtId="164" fontId="0" fillId="0" borderId="0" xfId="0" applyNumberFormat="1"/>
    <xf numFmtId="0" fontId="5" fillId="0" borderId="2" xfId="1" applyFont="1" applyBorder="1"/>
    <xf numFmtId="0" fontId="6" fillId="0" borderId="2" xfId="1" applyFont="1" applyBorder="1"/>
    <xf numFmtId="44" fontId="0" fillId="0" borderId="0" xfId="2" applyFont="1"/>
    <xf numFmtId="0" fontId="0" fillId="0" borderId="2" xfId="0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BCAC3E3-AC64-4112-8FBF-5E965797568F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[desafio-dashboard-xbox.xlsx]C̳álculos!tbl_annual_total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751403900456069E-2"/>
          <c:y val="4.8605218119830478E-2"/>
          <c:w val="0.83923282239692987"/>
          <c:h val="0.902789563760339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C-48A1-921E-9098955A3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965784"/>
        <c:axId val="707959664"/>
      </c:barChart>
      <c:catAx>
        <c:axId val="70796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959664"/>
        <c:crosses val="autoZero"/>
        <c:auto val="1"/>
        <c:lblAlgn val="ctr"/>
        <c:lblOffset val="100"/>
        <c:noMultiLvlLbl val="0"/>
      </c:catAx>
      <c:valAx>
        <c:axId val="7079596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07965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[desafio-dashboard-xbox.xlsx]C̳álculos!Tabela dinâmica4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5-4D18-8B47-4D7ED19A4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238904"/>
        <c:axId val="1070239984"/>
      </c:barChart>
      <c:catAx>
        <c:axId val="107023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239984"/>
        <c:crosses val="autoZero"/>
        <c:auto val="1"/>
        <c:lblAlgn val="ctr"/>
        <c:lblOffset val="100"/>
        <c:noMultiLvlLbl val="0"/>
      </c:catAx>
      <c:valAx>
        <c:axId val="10702399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7023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23810</xdr:colOff>
      <xdr:row>1</xdr:row>
      <xdr:rowOff>23813</xdr:rowOff>
    </xdr:from>
    <xdr:to>
      <xdr:col>3</xdr:col>
      <xdr:colOff>13867</xdr:colOff>
      <xdr:row>2</xdr:row>
      <xdr:rowOff>309563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26614A-8AB3-46AD-BC78-F8AAEBB7A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9706" r="71122" b="21178"/>
        <a:stretch>
          <a:fillRect/>
        </a:stretch>
      </xdr:blipFill>
      <xdr:spPr>
        <a:xfrm>
          <a:off x="1952623" y="214313"/>
          <a:ext cx="835400" cy="785813"/>
        </a:xfrm>
        <a:prstGeom prst="rect">
          <a:avLst/>
        </a:prstGeom>
      </xdr:spPr>
    </xdr:pic>
    <xdr:clientData/>
  </xdr:twoCellAnchor>
  <xdr:twoCellAnchor editAs="oneCell">
    <xdr:from>
      <xdr:col>0</xdr:col>
      <xdr:colOff>47634</xdr:colOff>
      <xdr:row>6</xdr:row>
      <xdr:rowOff>85727</xdr:rowOff>
    </xdr:from>
    <xdr:to>
      <xdr:col>0</xdr:col>
      <xdr:colOff>1876434</xdr:colOff>
      <xdr:row>12</xdr:row>
      <xdr:rowOff>54771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3D629D7-A7C1-41A2-86B9-6E76363704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34" y="1600202"/>
              <a:ext cx="1828800" cy="127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29768</xdr:colOff>
      <xdr:row>5</xdr:row>
      <xdr:rowOff>47624</xdr:rowOff>
    </xdr:from>
    <xdr:to>
      <xdr:col>10</xdr:col>
      <xdr:colOff>71435</xdr:colOff>
      <xdr:row>14</xdr:row>
      <xdr:rowOff>130971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2DD2FF7-F343-7DF3-57B7-1A5C35CDF3CE}"/>
            </a:ext>
          </a:extLst>
        </xdr:cNvPr>
        <xdr:cNvGrpSpPr/>
      </xdr:nvGrpSpPr>
      <xdr:grpSpPr>
        <a:xfrm>
          <a:off x="2191943" y="1428749"/>
          <a:ext cx="4918467" cy="1902622"/>
          <a:chOff x="2196708" y="1369219"/>
          <a:chExt cx="4899417" cy="1893097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0D6DE86-D9A4-32F8-F778-5546D95705F6}"/>
              </a:ext>
            </a:extLst>
          </xdr:cNvPr>
          <xdr:cNvSpPr/>
        </xdr:nvSpPr>
        <xdr:spPr>
          <a:xfrm>
            <a:off x="2196708" y="1369222"/>
            <a:ext cx="4893469" cy="1893094"/>
          </a:xfrm>
          <a:prstGeom prst="roundRect">
            <a:avLst>
              <a:gd name="adj" fmla="val 66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D5BF31F-44CE-4061-82A8-0A44268B573B}"/>
              </a:ext>
            </a:extLst>
          </xdr:cNvPr>
          <xdr:cNvSpPr/>
        </xdr:nvSpPr>
        <xdr:spPr>
          <a:xfrm>
            <a:off x="3570688" y="1971675"/>
            <a:ext cx="3502819" cy="1045369"/>
          </a:xfrm>
          <a:prstGeom prst="roundRect">
            <a:avLst>
              <a:gd name="adj" fmla="val 660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9123013-CE60-4770-B316-516E68ABA15B}" type="TxLink">
              <a:rPr lang="en-US" sz="3600" b="0" i="0" u="none" strike="noStrike">
                <a:solidFill>
                  <a:srgbClr val="22C55E"/>
                </a:solidFill>
                <a:latin typeface="+mn-lt"/>
                <a:cs typeface="Segoe UI" panose="020B0502040204020203" pitchFamily="34" charset="0"/>
              </a:rPr>
              <a:pPr algn="ctr"/>
              <a:t> R$ 600,00 </a:t>
            </a:fld>
            <a:endParaRPr lang="pt-BR" sz="3600" b="0">
              <a:solidFill>
                <a:srgbClr val="22C55E"/>
              </a:solidFill>
              <a:latin typeface="+mn-lt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3AA0759-FBFF-40BA-87CB-CF693217DB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55085" y="1884759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559CB9E-5DEF-B268-4B5F-A48525564657}"/>
              </a:ext>
            </a:extLst>
          </xdr:cNvPr>
          <xdr:cNvSpPr/>
        </xdr:nvSpPr>
        <xdr:spPr>
          <a:xfrm>
            <a:off x="2202656" y="1369219"/>
            <a:ext cx="4893469" cy="3690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357187</xdr:colOff>
      <xdr:row>5</xdr:row>
      <xdr:rowOff>47624</xdr:rowOff>
    </xdr:from>
    <xdr:to>
      <xdr:col>18</xdr:col>
      <xdr:colOff>569124</xdr:colOff>
      <xdr:row>14</xdr:row>
      <xdr:rowOff>130971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4E9DF54-373D-E729-21A3-817A1E4F291A}"/>
            </a:ext>
          </a:extLst>
        </xdr:cNvPr>
        <xdr:cNvGrpSpPr/>
      </xdr:nvGrpSpPr>
      <xdr:grpSpPr>
        <a:xfrm>
          <a:off x="7396162" y="1428749"/>
          <a:ext cx="4917287" cy="1902622"/>
          <a:chOff x="7762867" y="1440655"/>
          <a:chExt cx="4902999" cy="1893097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BF1D513-34D5-4A32-A6A2-E92E1787FC22}"/>
              </a:ext>
            </a:extLst>
          </xdr:cNvPr>
          <xdr:cNvGrpSpPr/>
        </xdr:nvGrpSpPr>
        <xdr:grpSpPr>
          <a:xfrm>
            <a:off x="7762867" y="1440655"/>
            <a:ext cx="4902999" cy="1893097"/>
            <a:chOff x="2193126" y="1369219"/>
            <a:chExt cx="4902999" cy="1893097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CE31E977-BDCF-2FF9-197A-EA49033A4D76}"/>
                </a:ext>
              </a:extLst>
            </xdr:cNvPr>
            <xdr:cNvSpPr/>
          </xdr:nvSpPr>
          <xdr:spPr>
            <a:xfrm>
              <a:off x="2196708" y="1369222"/>
              <a:ext cx="4893469" cy="1893094"/>
            </a:xfrm>
            <a:prstGeom prst="roundRect">
              <a:avLst>
                <a:gd name="adj" fmla="val 66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D0660E04-A909-3EDE-4AA4-1D82DB71F4EB}"/>
                </a:ext>
              </a:extLst>
            </xdr:cNvPr>
            <xdr:cNvSpPr/>
          </xdr:nvSpPr>
          <xdr:spPr>
            <a:xfrm>
              <a:off x="3570688" y="1971675"/>
              <a:ext cx="3502819" cy="1045369"/>
            </a:xfrm>
            <a:prstGeom prst="roundRect">
              <a:avLst>
                <a:gd name="adj" fmla="val 660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BA63876-BCE1-43A8-8C3C-7DE43953D9B1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  <a:cs typeface="Segoe UI" panose="020B0502040204020203" pitchFamily="34" charset="0"/>
                </a:rPr>
                <a:t> R$ 940,00 </a:t>
              </a:fld>
              <a:endParaRPr lang="pt-BR" sz="36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2D3367AB-580E-A3AB-2ACA-599BD7347913}"/>
                </a:ext>
              </a:extLst>
            </xdr:cNvPr>
            <xdr:cNvSpPr/>
          </xdr:nvSpPr>
          <xdr:spPr>
            <a:xfrm>
              <a:off x="2193126" y="1369219"/>
              <a:ext cx="4902999" cy="36909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6708FF5-5E11-42B6-9166-1C2974F0457D}"/>
              </a:ext>
            </a:extLst>
          </xdr:cNvPr>
          <xdr:cNvGrpSpPr/>
        </xdr:nvGrpSpPr>
        <xdr:grpSpPr>
          <a:xfrm>
            <a:off x="8108154" y="2250282"/>
            <a:ext cx="1273969" cy="647698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F5305A34-8737-60EA-FE36-3386944AF6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0B6A45A9-CDE2-E075-6F8C-B9F8F7FE14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32737</xdr:colOff>
      <xdr:row>15</xdr:row>
      <xdr:rowOff>178593</xdr:rowOff>
    </xdr:from>
    <xdr:to>
      <xdr:col>10</xdr:col>
      <xdr:colOff>107156</xdr:colOff>
      <xdr:row>31</xdr:row>
      <xdr:rowOff>40490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A229BD3B-9974-CA38-F074-F3459CDF004F}"/>
            </a:ext>
          </a:extLst>
        </xdr:cNvPr>
        <xdr:cNvGrpSpPr/>
      </xdr:nvGrpSpPr>
      <xdr:grpSpPr>
        <a:xfrm>
          <a:off x="2194912" y="3569493"/>
          <a:ext cx="4951219" cy="2909897"/>
          <a:chOff x="2199675" y="3571874"/>
          <a:chExt cx="10373325" cy="290989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2FEBDC7-2EC0-6321-BD36-8934FD4CF6FD}"/>
              </a:ext>
            </a:extLst>
          </xdr:cNvPr>
          <xdr:cNvGrpSpPr/>
        </xdr:nvGrpSpPr>
        <xdr:grpSpPr>
          <a:xfrm>
            <a:off x="2199675" y="3607594"/>
            <a:ext cx="10366672" cy="2874177"/>
            <a:chOff x="2059781" y="1440650"/>
            <a:chExt cx="4845844" cy="287417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C30902F-120A-99AF-F4BE-7A1B35ED5BE9}"/>
                </a:ext>
              </a:extLst>
            </xdr:cNvPr>
            <xdr:cNvSpPr/>
          </xdr:nvSpPr>
          <xdr:spPr>
            <a:xfrm>
              <a:off x="2059781" y="1440656"/>
              <a:ext cx="4845844" cy="2714625"/>
            </a:xfrm>
            <a:prstGeom prst="roundRect">
              <a:avLst>
                <a:gd name="adj" fmla="val 482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366693E-2E91-4559-8FB9-28D6A5C76D1B}"/>
                </a:ext>
              </a:extLst>
            </xdr:cNvPr>
            <xdr:cNvGraphicFramePr>
              <a:graphicFrameLocks/>
            </xdr:cNvGraphicFramePr>
          </xdr:nvGraphicFramePr>
          <xdr:xfrm>
            <a:off x="2109533" y="1440650"/>
            <a:ext cx="4689041" cy="287417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62E58F8D-43CC-4F51-A671-A4FEE835C000}"/>
              </a:ext>
            </a:extLst>
          </xdr:cNvPr>
          <xdr:cNvSpPr/>
        </xdr:nvSpPr>
        <xdr:spPr>
          <a:xfrm>
            <a:off x="2202657" y="3571874"/>
            <a:ext cx="10370343" cy="3690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</a:t>
            </a:r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 editAs="absolute">
    <xdr:from>
      <xdr:col>0</xdr:col>
      <xdr:colOff>500056</xdr:colOff>
      <xdr:row>0</xdr:row>
      <xdr:rowOff>154773</xdr:rowOff>
    </xdr:from>
    <xdr:to>
      <xdr:col>0</xdr:col>
      <xdr:colOff>1334446</xdr:colOff>
      <xdr:row>2</xdr:row>
      <xdr:rowOff>298600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99323BF9-1CBF-4748-96AB-CCDE03E10E62}"/>
            </a:ext>
          </a:extLst>
        </xdr:cNvPr>
        <xdr:cNvSpPr>
          <a:spLocks noChangeAspect="1"/>
        </xdr:cNvSpPr>
      </xdr:nvSpPr>
      <xdr:spPr>
        <a:xfrm>
          <a:off x="500056" y="154773"/>
          <a:ext cx="834390" cy="83439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250031</xdr:colOff>
      <xdr:row>2</xdr:row>
      <xdr:rowOff>309562</xdr:rowOff>
    </xdr:from>
    <xdr:to>
      <xdr:col>0</xdr:col>
      <xdr:colOff>1714500</xdr:colOff>
      <xdr:row>3</xdr:row>
      <xdr:rowOff>47625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8881CC4C-1AE3-3BF8-8DDA-D45E43BD2DBC}"/>
            </a:ext>
          </a:extLst>
        </xdr:cNvPr>
        <xdr:cNvSpPr/>
      </xdr:nvSpPr>
      <xdr:spPr>
        <a:xfrm>
          <a:off x="250031" y="1000125"/>
          <a:ext cx="1464469" cy="23812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</a:t>
          </a:r>
          <a:r>
            <a:rPr lang="pt-BR" sz="1100" b="1" baseline="0"/>
            <a:t> Maria</a:t>
          </a:r>
          <a:endParaRPr lang="pt-BR" sz="1100" b="1"/>
        </a:p>
      </xdr:txBody>
    </xdr:sp>
    <xdr:clientData/>
  </xdr:twoCellAnchor>
  <xdr:twoCellAnchor editAs="absolute">
    <xdr:from>
      <xdr:col>2</xdr:col>
      <xdr:colOff>45243</xdr:colOff>
      <xdr:row>2</xdr:row>
      <xdr:rowOff>450056</xdr:rowOff>
    </xdr:from>
    <xdr:to>
      <xdr:col>10</xdr:col>
      <xdr:colOff>107156</xdr:colOff>
      <xdr:row>4</xdr:row>
      <xdr:rowOff>83344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92C95F90-3D91-47EE-8EFA-DD559AB91C29}"/>
            </a:ext>
          </a:extLst>
        </xdr:cNvPr>
        <xdr:cNvSpPr/>
      </xdr:nvSpPr>
      <xdr:spPr>
        <a:xfrm>
          <a:off x="2212181" y="1140619"/>
          <a:ext cx="4919663" cy="2405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>
              <a:solidFill>
                <a:schemeClr val="bg2">
                  <a:lumMod val="75000"/>
                </a:schemeClr>
              </a:solidFill>
            </a:rPr>
            <a:t>Calculation</a:t>
          </a:r>
          <a:r>
            <a:rPr lang="pt-BR" sz="1050" b="0" baseline="0">
              <a:solidFill>
                <a:schemeClr val="bg2">
                  <a:lumMod val="75000"/>
                </a:schemeClr>
              </a:solidFill>
            </a:rPr>
            <a:t> period: 01/01/2024 - 31/12/2024 | Update date: 22/01/2026 14:00:00</a:t>
          </a:r>
          <a:endParaRPr lang="pt-BR" sz="1050" b="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154781</xdr:colOff>
      <xdr:row>28</xdr:row>
      <xdr:rowOff>0</xdr:rowOff>
    </xdr:from>
    <xdr:to>
      <xdr:col>0</xdr:col>
      <xdr:colOff>1706166</xdr:colOff>
      <xdr:row>30</xdr:row>
      <xdr:rowOff>26509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2B61544C-2F2C-4126-1B65-4D6C5F3D925B}"/>
            </a:ext>
          </a:extLst>
        </xdr:cNvPr>
        <xdr:cNvGrpSpPr/>
      </xdr:nvGrpSpPr>
      <xdr:grpSpPr>
        <a:xfrm>
          <a:off x="154781" y="5867400"/>
          <a:ext cx="1551385" cy="407509"/>
          <a:chOff x="154781" y="5867400"/>
          <a:chExt cx="1551385" cy="407509"/>
        </a:xfrm>
      </xdr:grpSpPr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3E8A1BCF-7DBA-8711-0098-99CA2E9E2464}"/>
              </a:ext>
            </a:extLst>
          </xdr:cNvPr>
          <xdr:cNvCxnSpPr/>
        </xdr:nvCxnSpPr>
        <xdr:spPr>
          <a:xfrm>
            <a:off x="154781" y="5867400"/>
            <a:ext cx="1524000" cy="11906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3E666FCD-F3AE-40F5-B7BF-17CF1D0E68E7}"/>
              </a:ext>
            </a:extLst>
          </xdr:cNvPr>
          <xdr:cNvSpPr/>
        </xdr:nvSpPr>
        <xdr:spPr>
          <a:xfrm>
            <a:off x="241697" y="5983058"/>
            <a:ext cx="1464469" cy="238125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System</a:t>
            </a:r>
            <a:r>
              <a:rPr lang="pt-BR" sz="1100" b="1" baseline="0"/>
              <a:t> by ATR</a:t>
            </a:r>
            <a:endParaRPr lang="pt-BR" sz="1100" b="1"/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4CAEB7D8-5F1F-4CB0-BB70-C3B0B9A8558A}"/>
              </a:ext>
            </a:extLst>
          </xdr:cNvPr>
          <xdr:cNvSpPr>
            <a:spLocks noChangeAspect="1"/>
          </xdr:cNvSpPr>
        </xdr:nvSpPr>
        <xdr:spPr>
          <a:xfrm>
            <a:off x="159078" y="5929332"/>
            <a:ext cx="345577" cy="345577"/>
          </a:xfrm>
          <a:prstGeom prst="ellipse">
            <a:avLst/>
          </a:prstGeom>
          <a:blipFill>
            <a:blip xmlns:r="http://schemas.openxmlformats.org/officeDocument/2006/relationships" r:embed="rId8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10</xdr:col>
      <xdr:colOff>366112</xdr:colOff>
      <xdr:row>15</xdr:row>
      <xdr:rowOff>190499</xdr:rowOff>
    </xdr:from>
    <xdr:to>
      <xdr:col>18</xdr:col>
      <xdr:colOff>559594</xdr:colOff>
      <xdr:row>30</xdr:row>
      <xdr:rowOff>40481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528CF4CF-3666-9C67-B468-C8ED537C3216}"/>
            </a:ext>
          </a:extLst>
        </xdr:cNvPr>
        <xdr:cNvGrpSpPr/>
      </xdr:nvGrpSpPr>
      <xdr:grpSpPr>
        <a:xfrm>
          <a:off x="7405087" y="3581399"/>
          <a:ext cx="4898832" cy="2707482"/>
          <a:chOff x="7390800" y="3583780"/>
          <a:chExt cx="4884544" cy="2707482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336AAA0C-CEE9-83F7-5066-A12C6533A4E9}"/>
              </a:ext>
            </a:extLst>
          </xdr:cNvPr>
          <xdr:cNvSpPr/>
        </xdr:nvSpPr>
        <xdr:spPr>
          <a:xfrm>
            <a:off x="7393781" y="3595687"/>
            <a:ext cx="4881563" cy="2678907"/>
          </a:xfrm>
          <a:prstGeom prst="roundRect">
            <a:avLst>
              <a:gd name="adj" fmla="val 288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84B8115B-19F8-4C92-9DC1-3E92A16EE59D}"/>
              </a:ext>
            </a:extLst>
          </xdr:cNvPr>
          <xdr:cNvGraphicFramePr>
            <a:graphicFrameLocks/>
          </xdr:cNvGraphicFramePr>
        </xdr:nvGraphicFramePr>
        <xdr:xfrm>
          <a:off x="7631907" y="4000500"/>
          <a:ext cx="4298155" cy="22907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75533939-B9AB-410B-8183-91CFA0C0E279}"/>
              </a:ext>
            </a:extLst>
          </xdr:cNvPr>
          <xdr:cNvSpPr/>
        </xdr:nvSpPr>
        <xdr:spPr>
          <a:xfrm>
            <a:off x="7390800" y="3583780"/>
            <a:ext cx="4884544" cy="3690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COUPON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VALUE USED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abelo" refreshedDate="46043.688234027781" createdVersion="8" refreshedVersion="8" minRefreshableVersion="3" recordCount="295" xr:uid="{7AD367AD-DD56-4F2C-839A-8DECB2814B1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980946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382D1-E073-4634-BEF5-73CD13AC7689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Coupon Value" fld="11" baseField="0" baseItem="0" numFmtId="44"/>
  </dataFields>
  <chartFormats count="3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6568F-640F-4BB4-9E31-36449E918B7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FB931-50EA-476D-9374-BE4CB8833098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DB663-8900-4094-B171-E1C63E2E59C6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ECB0E0-EA57-453C-9E0D-8D0EFE9FDE76}" sourceName="Subscription Type">
  <pivotTables>
    <pivotTable tabId="3" name="tbl_annual_total"/>
    <pivotTable tabId="3" name="tbl_easeasonpass_total"/>
    <pivotTable tabId="3" name="Tabela dinâmica3"/>
    <pivotTable tabId="3" name="Tabela dinâmica4"/>
  </pivotTables>
  <data>
    <tabular pivotCacheId="69809468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00D2833-048C-4AAF-9EF5-E2C067A247B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C53" sqref="C5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C53" sqref="C5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8"/>
  <sheetViews>
    <sheetView showGridLines="0" topLeftCell="A34" workbookViewId="0">
      <selection activeCell="C53" sqref="C53"/>
    </sheetView>
  </sheetViews>
  <sheetFormatPr defaultRowHeight="15" x14ac:dyDescent="0.25"/>
  <cols>
    <col min="2" max="2" width="18.42578125" bestFit="1" customWidth="1"/>
    <col min="3" max="3" width="22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313</v>
      </c>
      <c r="C3" s="15"/>
      <c r="D3" s="15"/>
      <c r="E3" s="15"/>
      <c r="F3" s="15"/>
    </row>
    <row r="6" spans="2:6" x14ac:dyDescent="0.25">
      <c r="B6" t="s">
        <v>318</v>
      </c>
    </row>
    <row r="7" spans="2:6" x14ac:dyDescent="0.25">
      <c r="B7" t="s">
        <v>317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314</v>
      </c>
      <c r="C11" t="s">
        <v>316</v>
      </c>
    </row>
    <row r="12" spans="2:6" x14ac:dyDescent="0.25">
      <c r="B12" s="13" t="s">
        <v>23</v>
      </c>
      <c r="C12" s="14">
        <v>217</v>
      </c>
    </row>
    <row r="13" spans="2:6" x14ac:dyDescent="0.25">
      <c r="B13" s="13" t="s">
        <v>19</v>
      </c>
      <c r="C13" s="14">
        <v>1537</v>
      </c>
    </row>
    <row r="14" spans="2:6" x14ac:dyDescent="0.25">
      <c r="B14" s="13" t="s">
        <v>315</v>
      </c>
      <c r="C14" s="14">
        <v>1754</v>
      </c>
    </row>
    <row r="16" spans="2:6" x14ac:dyDescent="0.25">
      <c r="B16" t="s">
        <v>320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314</v>
      </c>
      <c r="C21" t="s">
        <v>321</v>
      </c>
    </row>
    <row r="22" spans="2:5" x14ac:dyDescent="0.25">
      <c r="B22" s="13" t="s">
        <v>22</v>
      </c>
      <c r="C22" s="16">
        <v>0</v>
      </c>
    </row>
    <row r="23" spans="2:5" x14ac:dyDescent="0.25">
      <c r="B23" s="13" t="s">
        <v>26</v>
      </c>
      <c r="C23" s="16">
        <v>0</v>
      </c>
    </row>
    <row r="24" spans="2:5" x14ac:dyDescent="0.25">
      <c r="B24" s="13" t="s">
        <v>18</v>
      </c>
      <c r="C24" s="16">
        <v>600</v>
      </c>
    </row>
    <row r="25" spans="2:5" x14ac:dyDescent="0.25">
      <c r="B25" s="13" t="s">
        <v>315</v>
      </c>
      <c r="C25" s="16">
        <v>600</v>
      </c>
      <c r="E25" s="17">
        <f>GETPIVOTDATA("EA Play Season Pass
Price",$B$21)</f>
        <v>600</v>
      </c>
    </row>
    <row r="28" spans="2:5" x14ac:dyDescent="0.25">
      <c r="B28" t="s">
        <v>322</v>
      </c>
    </row>
    <row r="31" spans="2:5" x14ac:dyDescent="0.25">
      <c r="B31" s="12" t="s">
        <v>16</v>
      </c>
      <c r="C31" t="s">
        <v>24</v>
      </c>
    </row>
    <row r="33" spans="2:5" x14ac:dyDescent="0.25">
      <c r="B33" s="12" t="s">
        <v>314</v>
      </c>
      <c r="C33" t="s">
        <v>323</v>
      </c>
    </row>
    <row r="34" spans="2:5" x14ac:dyDescent="0.25">
      <c r="B34" s="13" t="s">
        <v>22</v>
      </c>
      <c r="C34" s="14">
        <v>0</v>
      </c>
    </row>
    <row r="35" spans="2:5" x14ac:dyDescent="0.25">
      <c r="B35" s="13" t="s">
        <v>26</v>
      </c>
      <c r="C35" s="14">
        <v>540</v>
      </c>
    </row>
    <row r="36" spans="2:5" x14ac:dyDescent="0.25">
      <c r="B36" s="13" t="s">
        <v>18</v>
      </c>
      <c r="C36" s="14">
        <v>400</v>
      </c>
    </row>
    <row r="37" spans="2:5" x14ac:dyDescent="0.25">
      <c r="B37" s="13" t="s">
        <v>315</v>
      </c>
      <c r="C37" s="14">
        <v>940</v>
      </c>
      <c r="E37" s="20">
        <f>GETPIVOTDATA("Minecraft Season Pass Price",$B$33)</f>
        <v>940</v>
      </c>
    </row>
    <row r="40" spans="2:5" x14ac:dyDescent="0.25">
      <c r="B40" t="s">
        <v>324</v>
      </c>
    </row>
    <row r="42" spans="2:5" x14ac:dyDescent="0.25">
      <c r="B42" s="12" t="s">
        <v>16</v>
      </c>
      <c r="C42" t="s">
        <v>24</v>
      </c>
    </row>
    <row r="44" spans="2:5" x14ac:dyDescent="0.25">
      <c r="B44" s="12" t="s">
        <v>314</v>
      </c>
      <c r="C44" t="s">
        <v>325</v>
      </c>
    </row>
    <row r="45" spans="2:5" x14ac:dyDescent="0.25">
      <c r="B45" s="13" t="s">
        <v>22</v>
      </c>
      <c r="C45" s="14">
        <v>0</v>
      </c>
    </row>
    <row r="46" spans="2:5" x14ac:dyDescent="0.25">
      <c r="B46" s="13" t="s">
        <v>26</v>
      </c>
      <c r="C46" s="14">
        <v>362</v>
      </c>
    </row>
    <row r="47" spans="2:5" x14ac:dyDescent="0.25">
      <c r="B47" s="13" t="s">
        <v>18</v>
      </c>
      <c r="C47" s="14">
        <v>114</v>
      </c>
    </row>
    <row r="48" spans="2:5" x14ac:dyDescent="0.25">
      <c r="B48" s="13" t="s">
        <v>315</v>
      </c>
      <c r="C48" s="14">
        <v>476</v>
      </c>
      <c r="E48" s="20">
        <f>GETPIVOTDATA("Coupon Value",$B$44)</f>
        <v>476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637"/>
  <sheetViews>
    <sheetView showGridLines="0" showRowColHeaders="0" tabSelected="1" zoomScaleNormal="100" workbookViewId="0">
      <selection activeCell="B32" sqref="B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8.85546875" style="4" customWidth="1"/>
    <col min="2" max="2" width="3.5703125" customWidth="1"/>
    <col min="12" max="12" width="6.5703125" customWidth="1"/>
  </cols>
  <sheetData>
    <row r="2" spans="1:19" ht="39" customHeight="1" thickBot="1" x14ac:dyDescent="0.5">
      <c r="D2" s="18" t="s">
        <v>319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1"/>
      <c r="S2" s="21"/>
    </row>
    <row r="3" spans="1:19" ht="39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Anderson Tadeu Rabelo</cp:lastModifiedBy>
  <dcterms:created xsi:type="dcterms:W3CDTF">2024-12-19T13:13:10Z</dcterms:created>
  <dcterms:modified xsi:type="dcterms:W3CDTF">2026-01-22T19:44:29Z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